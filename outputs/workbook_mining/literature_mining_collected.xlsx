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266b315e3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마이닝" sheetId="1" r:id="R80264aaadc82490a"/>
    <x:sheet xmlns:r="http://schemas.openxmlformats.org/officeDocument/2006/relationships" name="확보현황" sheetId="2" r:id="R8fc4f8e164b04275"/>
    <x:sheet xmlns:r="http://schemas.openxmlformats.org/officeDocument/2006/relationships" name="문헌검토" sheetId="3" r:id="Rb27356de8dab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####"/>
    <x:numFmt numFmtId="201" formatCode="0.##"/>
    <x:numFmt numFmtId="202" formatCode="0.000E+00"/>
    <x:numFmt numFmtId="203" formatCode="0.0%"/>
  </x:numFmts>
  <x:fonts count="7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Malgun Gothic"/>
    </x:font>
    <x:font>
      <x:b/>
      <x:sz val="15"/>
      <x:color rgb="FF174A5B"/>
      <x:name val="Malgun Gothic"/>
    </x:font>
    <x:font>
      <x:b/>
      <x:sz val="11"/>
      <x:color rgb="FF174A5B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E8F1F3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fa6169b7e4f11" /><Relationship Type="http://schemas.openxmlformats.org/officeDocument/2006/relationships/theme" Target="/xl/theme/theme1.xml" Id="Rfd2b7b7bcabd4b2f" /><Relationship Type="http://schemas.microsoft.com/office/2022/11/relationships/FeaturePropertyBag" Target="/xl/featurePropertyBag/featurePropertyBag.xml" Id="Rc76880bdbd9f4b3e" /><Relationship Type="http://schemas.openxmlformats.org/officeDocument/2006/relationships/sharedStrings" Target="/xl/sharedStrings.xml" Id="Rf6179b8087d94895" /><Relationship Type="http://schemas.openxmlformats.org/officeDocument/2006/relationships/worksheet" Target="/xl/worksheets/sheet1.xml" Id="R80264aaadc82490a" /><Relationship Type="http://schemas.openxmlformats.org/officeDocument/2006/relationships/worksheet" Target="/xl/worksheets/sheet2.xml" Id="R8fc4f8e164b04275" /><Relationship Type="http://schemas.openxmlformats.org/officeDocument/2006/relationships/worksheet" Target="/xl/worksheets/sheet3.xml" Id="Rb27356de8dab42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ningRecords" displayName="MiningRecords" ref="A1:BE115" headerRowCount="1" totalsRowCount="0" totalsRowShown="0">
  <x:tableColumns count="57">
    <x:tableColumn id="1" name="논문#"/>
    <x:tableColumn id="2" name="강종"/>
    <x:tableColumn id="3" name="시료"/>
    <x:tableColumn id="4" name="C"/>
    <x:tableColumn id="5" name="Si"/>
    <x:tableColumn id="6" name="Mn"/>
    <x:tableColumn id="7" name="P"/>
    <x:tableColumn id="8" name="S"/>
    <x:tableColumn id="9" name="Cr"/>
    <x:tableColumn id="10" name="Ni"/>
    <x:tableColumn id="11" name="Mo"/>
    <x:tableColumn id="12" name="Cu"/>
    <x:tableColumn id="13" name="T.N.(Total Nitrogen)"/>
    <x:tableColumn id="14" name="Nb"/>
    <x:tableColumn id="15" name="V"/>
    <x:tableColumn id="16" name="Ti"/>
    <x:tableColumn id="17" name="Al"/>
    <x:tableColumn id="18" name="Sb"/>
    <x:tableColumn id="19" name="Ce"/>
    <x:tableColumn id="20" name="La"/>
    <x:tableColumn id="21" name="Pr"/>
    <x:tableColumn id="22" name="W"/>
    <x:tableColumn id="23" name="Y"/>
    <x:tableColumn id="24" name="La+Ce_합산"/>
    <x:tableColumn id="25" name="Fe"/>
    <x:tableColumn id="26" name="PREN"/>
    <x:tableColumn id="27" name="열처리 온도(°C)"/>
    <x:tableColumn id="28" name="Time(min)"/>
    <x:tableColumn id="29" name="냉각방식"/>
    <x:tableColumn id="30" name="전해질"/>
    <x:tableColumn id="31" name="전해질 농도(wt%)"/>
    <x:tableColumn id="32" name="침지시간(min)"/>
    <x:tableColumn id="33" name="추정"/>
    <x:tableColumn id="34" name="온도(°C)"/>
    <x:tableColumn id="35" name="기준전극"/>
    <x:tableColumn id="36" name="주사속도(mV/s)"/>
    <x:tableColumn id="37" name="Ecorr(V)"/>
    <x:tableColumn id="38" name="icorr(A/cm2)"/>
    <x:tableColumn id="39" name="record_id"/>
    <x:tableColumn id="40" name="doi"/>
    <x:tableColumn id="41" name="source_url"/>
    <x:tableColumn id="42" name="source_locator"/>
    <x:tableColumn id="43" name="provenance"/>
    <x:tableColumn id="44" name="target_status"/>
    <x:tableColumn id="45" name="raw_icorr_value"/>
    <x:tableColumn id="46" name="raw_icorr_unit"/>
    <x:tableColumn id="47" name="electrolyte_concentration_raw"/>
    <x:tableColumn id="48" name="processing_sequence"/>
    <x:tableColumn id="49" name="RE_total_wt_pct"/>
    <x:tableColumn id="50" name="B_addition_wt_pct"/>
    <x:tableColumn id="51" name="REO_addition_wt_pct"/>
    <x:tableColumn id="52" name="S_upper_bound_wt_pct"/>
    <x:tableColumn id="53" name="missing_measurement_count"/>
    <x:tableColumn id="54" name="all_measurements_complete"/>
    <x:tableColumn id="55" name="eligible_under_requested_all_column_policy"/>
    <x:tableColumn id="56" name="missing_measurement_columns"/>
    <x:tableColumn id="57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teratureReview" displayName="LiteratureReview" ref="A1:J50" headerRowCount="1" totalsRowCount="0" totalsRowShown="0">
  <x:tableColumns count="10">
    <x:tableColumn id="1" name="paper_number"/>
    <x:tableColumn id="2" name="doi"/>
    <x:tableColumn id="3" name="paper_title"/>
    <x:tableColumn id="4" name="workbook_status"/>
    <x:tableColumn id="5" name="collected_rows"/>
    <x:tableColumn id="6" name="newly_transcribed_rows"/>
    <x:tableColumn id="7" name="reported_icorr_rows"/>
    <x:tableColumn id="8" name="full_measurement_rows"/>
    <x:tableColumn id="9" name="this_batch_status"/>
    <x:tableColumn id="10" name="workbook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ec15820f3d49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d2d5c9cbed435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4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26" hidden="0" customWidth="1"/>
    <x:col min="31" max="31" width="14" hidden="0" customWidth="1"/>
    <x:col min="32" max="32" width="14" hidden="0" customWidth="1"/>
    <x:col min="33" max="33" width="17" hidden="0" customWidth="1"/>
    <x:col min="34" max="34" width="17" hidden="0" customWidth="1"/>
    <x:col min="35" max="35" width="17" hidden="0" customWidth="1"/>
    <x:col min="36" max="36" width="14" hidden="0" customWidth="1"/>
    <x:col min="37" max="37" width="14" hidden="0" customWidth="1"/>
    <x:col min="38" max="38" width="14" hidden="0" customWidth="1"/>
    <x:col min="39" max="39" width="40" hidden="0" customWidth="1"/>
    <x:col min="40" max="40" width="40" hidden="0" customWidth="1"/>
    <x:col min="41" max="41" width="40" hidden="0" customWidth="1"/>
    <x:col min="42" max="42" width="40" hidden="0" customWidth="1"/>
    <x:col min="43" max="43" width="40" hidden="0" customWidth="1"/>
    <x:col min="44" max="44" width="40" hidden="0" customWidth="1"/>
    <x:col min="45" max="45" width="14" hidden="0" customWidth="1"/>
    <x:col min="46" max="46" width="14" hidden="0" customWidth="1"/>
    <x:col min="47" max="47" width="40" hidden="0" customWidth="1"/>
    <x:col min="48" max="48" width="40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70" hidden="0" customWidth="1"/>
    <x:col min="57" max="57" width="70" hidden="0" customWidth="1"/>
  </x:cols>
  <x:sheetData>
    <x:row r="1" ht="48" customHeight="1">
      <x:c r="A1" s="7" t="str">
        <x:v>논문#</x:v>
      </x:c>
      <x:c r="B1" s="7" t="str">
        <x:v>강종</x:v>
      </x:c>
      <x:c r="C1" s="7" t="str">
        <x:v>시료</x:v>
      </x:c>
      <x:c r="D1" s="7" t="str">
        <x:v>C</x:v>
      </x:c>
      <x:c r="E1" s="7" t="str">
        <x:v>Si</x:v>
      </x:c>
      <x:c r="F1" s="7" t="str">
        <x:v>Mn</x:v>
      </x:c>
      <x:c r="G1" s="7" t="str">
        <x:v>P</x:v>
      </x:c>
      <x:c r="H1" s="7" t="str">
        <x:v>S</x:v>
      </x:c>
      <x:c r="I1" s="7" t="str">
        <x:v>Cr</x:v>
      </x:c>
      <x:c r="J1" s="7" t="str">
        <x:v>Ni</x:v>
      </x:c>
      <x:c r="K1" s="7" t="str">
        <x:v>Mo</x:v>
      </x:c>
      <x:c r="L1" s="7" t="str">
        <x:v>Cu</x:v>
      </x:c>
      <x:c r="M1" s="7" t="str">
        <x:v>T.N.(Total Nitrogen)</x:v>
      </x:c>
      <x:c r="N1" s="7" t="str">
        <x:v>Nb</x:v>
      </x:c>
      <x:c r="O1" s="7" t="str">
        <x:v>V</x:v>
      </x:c>
      <x:c r="P1" s="7" t="str">
        <x:v>Ti</x:v>
      </x:c>
      <x:c r="Q1" s="7" t="str">
        <x:v>Al</x:v>
      </x:c>
      <x:c r="R1" s="7" t="str">
        <x:v>Sb</x:v>
      </x:c>
      <x:c r="S1" s="7" t="str">
        <x:v>Ce</x:v>
      </x:c>
      <x:c r="T1" s="7" t="str">
        <x:v>La</x:v>
      </x:c>
      <x:c r="U1" s="7" t="str">
        <x:v>Pr</x:v>
      </x:c>
      <x:c r="V1" s="7" t="str">
        <x:v>W</x:v>
      </x:c>
      <x:c r="W1" s="7" t="str">
        <x:v>Y</x:v>
      </x:c>
      <x:c r="X1" s="7" t="str">
        <x:v>La+Ce_합산</x:v>
      </x:c>
      <x:c r="Y1" s="7" t="str">
        <x:v>Fe</x:v>
      </x:c>
      <x:c r="Z1" s="7" t="str">
        <x:v>PREN</x:v>
      </x:c>
      <x:c r="AA1" s="7" t="str">
        <x:v>열처리 온도(°C)</x:v>
      </x:c>
      <x:c r="AB1" s="7" t="str">
        <x:v>Time(min)</x:v>
      </x:c>
      <x:c r="AC1" s="7" t="str">
        <x:v>냉각방식</x:v>
      </x:c>
      <x:c r="AD1" s="7" t="str">
        <x:v>전해질</x:v>
      </x:c>
      <x:c r="AE1" s="7" t="str">
        <x:v>전해질 농도(wt%)</x:v>
      </x:c>
      <x:c r="AF1" s="7" t="str">
        <x:v>침지시간(min)</x:v>
      </x:c>
      <x:c r="AG1" s="7" t="str">
        <x:v>추정</x:v>
      </x:c>
      <x:c r="AH1" s="7" t="str">
        <x:v>온도(°C)</x:v>
      </x:c>
      <x:c r="AI1" s="7" t="str">
        <x:v>기준전극</x:v>
      </x:c>
      <x:c r="AJ1" s="7" t="str">
        <x:v>주사속도(mV/s)</x:v>
      </x:c>
      <x:c r="AK1" s="7" t="str">
        <x:v>Ecorr(V)</x:v>
      </x:c>
      <x:c r="AL1" s="7" t="str">
        <x:v>icorr(A/cm2)</x:v>
      </x:c>
      <x:c r="AM1" s="7" t="str">
        <x:v>record_id</x:v>
      </x:c>
      <x:c r="AN1" s="7" t="str">
        <x:v>doi</x:v>
      </x:c>
      <x:c r="AO1" s="7" t="str">
        <x:v>source_url</x:v>
      </x:c>
      <x:c r="AP1" s="7" t="str">
        <x:v>source_locator</x:v>
      </x:c>
      <x:c r="AQ1" s="7" t="str">
        <x:v>provenance</x:v>
      </x:c>
      <x:c r="AR1" s="7" t="str">
        <x:v>target_status</x:v>
      </x:c>
      <x:c r="AS1" s="7" t="str">
        <x:v>raw_icorr_value</x:v>
      </x:c>
      <x:c r="AT1" s="7" t="str">
        <x:v>raw_icorr_unit</x:v>
      </x:c>
      <x:c r="AU1" s="7" t="str">
        <x:v>electrolyte_concentration_raw</x:v>
      </x:c>
      <x:c r="AV1" s="7" t="str">
        <x:v>processing_sequence</x:v>
      </x:c>
      <x:c r="AW1" s="7" t="str">
        <x:v>RE_total_wt_pct</x:v>
      </x:c>
      <x:c r="AX1" s="7" t="str">
        <x:v>B_addition_wt_pct</x:v>
      </x:c>
      <x:c r="AY1" s="7" t="str">
        <x:v>REO_addition_wt_pct</x:v>
      </x:c>
      <x:c r="AZ1" s="7" t="str">
        <x:v>S_upper_bound_wt_pct</x:v>
      </x:c>
      <x:c r="BA1" s="7" t="str">
        <x:v>missing_measurement_count</x:v>
      </x:c>
      <x:c r="BB1" s="7" t="str">
        <x:v>all_measurements_complete</x:v>
      </x:c>
      <x:c r="BC1" s="7" t="str">
        <x:v>eligible_under_requested_all_column_policy</x:v>
      </x:c>
      <x:c r="BD1" s="7" t="str">
        <x:v>missing_measurement_columns</x:v>
      </x:c>
      <x:c r="BE1" s="7" t="str">
        <x:v>remarks</x:v>
      </x:c>
    </x:row>
    <x:row r="2" ht="40" customHeight="1">
      <x:c r="A2" s="12" t="n">
        <x:v>8</x:v>
      </x:c>
      <x:c r="B2" s="13" t="str">
        <x:v>Cu-Cr-Ni 미세합금 해양강(탈산방식 비교)</x:v>
      </x:c>
      <x:c r="C2" s="13" t="str">
        <x:v>Tang2019_Normal</x:v>
      </x:c>
      <x:c r="D2" s="14" t="n">
        <x:v>0.0515</x:v>
      </x:c>
      <x:c r="E2" s="14" t="n">
        <x:v>0.225</x:v>
      </x:c>
      <x:c r="F2" s="14" t="n">
        <x:v>0.13</x:v>
      </x:c>
      <x:c r="G2" s="14" t="n">
        <x:v>0.005</x:v>
      </x:c>
      <x:c r="H2" s="14" t="n">
        <x:v>0.003</x:v>
      </x:c>
      <x:c r="I2" s="14" t="n">
        <x:v>1.215</x:v>
      </x:c>
      <x:c r="J2" s="14" t="n">
        <x:v>0.32</x:v>
      </x:c>
      <x:c r="K2" s="14"/>
      <x:c r="L2" s="14" t="n">
        <x:v>0.41</x:v>
      </x:c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2"/>
      <x:c r="Z2" s="12"/>
      <x:c r="AA2" s="15"/>
      <x:c r="AB2" s="15"/>
      <x:c r="AC2" s="12"/>
      <x:c r="AD2" s="12" t="str">
        <x:v>NaCl</x:v>
      </x:c>
      <x:c r="AE2" s="12" t="n">
        <x:v>3.5</x:v>
      </x:c>
      <x:c r="AF2" s="12"/>
      <x:c r="AG2" s="12"/>
      <x:c r="AH2" s="12" t="n">
        <x:v>25</x:v>
      </x:c>
      <x:c r="AI2" s="12" t="str">
        <x:v>SCE</x:v>
      </x:c>
      <x:c r="AJ2" s="12" t="n">
        <x:v>0.333</x:v>
      </x:c>
      <x:c r="AK2" s="16" t="n">
        <x:v>-0.122</x:v>
      </x:c>
      <x:c r="AL2" s="16" t="n">
        <x:v>0.0000531</x:v>
      </x:c>
      <x:c r="AM2" s="12" t="str">
        <x:v>RECORR_000001</x:v>
      </x:c>
      <x:c r="AN2" s="12" t="str">
        <x:v>10.3390/ma12203359</x:v>
      </x:c>
      <x:c r="AO2" s="12" t="str">
        <x:v>https://pmc.ncbi.nlm.nih.gov/articles/PMC6829360/</x:v>
      </x:c>
      <x:c r="AP2" s="12" t="str">
        <x:v>Table 2; composition Table 1; methods 2.2.1</x:v>
      </x:c>
      <x:c r="AQ2" s="12" t="str">
        <x:v>legacy_curated_not_reaudited_in_this_batch</x:v>
      </x:c>
      <x:c r="AR2" s="12" t="str">
        <x:v>reported_numeric</x:v>
      </x:c>
      <x:c r="AS2" s="12" t="n">
        <x:v>0.0000531</x:v>
      </x:c>
      <x:c r="AT2" s="12" t="str">
        <x:v>A/cm2</x:v>
      </x:c>
      <x:c r="AU2" s="12"/>
      <x:c r="AV2" s="12"/>
      <x:c r="AW2" s="12" t="n">
        <x:v>0</x:v>
      </x:c>
      <x:c r="AX2" s="12"/>
      <x:c r="AY2" s="12"/>
      <x:c r="AZ2" s="12"/>
      <x:c r="BA2" s="12" t="n">
        <x:v>19</x:v>
      </x:c>
      <x:c r="BB2" s="17" t="b">
        <x:v>0</x:v>
      </x:c>
      <x:c r="BC2" s="17" t="b">
        <x:v>0</x:v>
      </x:c>
      <x:c r="BD2" s="12" t="str">
        <x:v>Mo; T.N.(Total Nitrogen); Nb; V; Ti; Al; Sb; Ce; La; Pr; W; Y; La+Ce_합산; Fe; PREN; 열처리 온도(°C); Time(min); 냉각방식; 침지시간(min)</x:v>
      </x:c>
      <x:c r="BE2" s="12" t="str">
        <x:v>Al vs Ti/Zr 탈산법 동시 변화; RE 인과효과로 해석 금지; control_composition_unreported</x:v>
      </x:c>
    </x:row>
    <x:row r="3" ht="40" customHeight="1">
      <x:c r="A3" s="12" t="n">
        <x:v>8</x:v>
      </x:c>
      <x:c r="B3" s="13" t="str">
        <x:v>Cu-Cr-Ni 미세합금 해양강(탈산방식 비교)</x:v>
      </x:c>
      <x:c r="C3" s="13" t="str">
        <x:v>Tang2019_AlRE</x:v>
      </x:c>
      <x:c r="D3" s="14" t="n">
        <x:v>0.053</x:v>
      </x:c>
      <x:c r="E3" s="14" t="n">
        <x:v>0.23</x:v>
      </x:c>
      <x:c r="F3" s="14" t="n">
        <x:v>0.13</x:v>
      </x:c>
      <x:c r="G3" s="14" t="n">
        <x:v>0.005</x:v>
      </x:c>
      <x:c r="H3" s="14" t="n">
        <x:v>0.003</x:v>
      </x:c>
      <x:c r="I3" s="14" t="n">
        <x:v>1.21</x:v>
      </x:c>
      <x:c r="J3" s="14" t="n">
        <x:v>0.31</x:v>
      </x:c>
      <x:c r="K3" s="14"/>
      <x:c r="L3" s="14" t="n">
        <x:v>0.39</x:v>
      </x:c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 t="n">
        <x:v>0.005</x:v>
      </x:c>
      <x:c r="Y3" s="12"/>
      <x:c r="Z3" s="12"/>
      <x:c r="AA3" s="15"/>
      <x:c r="AB3" s="15"/>
      <x:c r="AC3" s="12"/>
      <x:c r="AD3" s="12" t="str">
        <x:v>NaCl</x:v>
      </x:c>
      <x:c r="AE3" s="12" t="n">
        <x:v>3.5</x:v>
      </x:c>
      <x:c r="AF3" s="12"/>
      <x:c r="AG3" s="12"/>
      <x:c r="AH3" s="12" t="n">
        <x:v>25</x:v>
      </x:c>
      <x:c r="AI3" s="12" t="str">
        <x:v>SCE</x:v>
      </x:c>
      <x:c r="AJ3" s="12" t="n">
        <x:v>0.333</x:v>
      </x:c>
      <x:c r="AK3" s="16" t="n">
        <x:v>-0.137</x:v>
      </x:c>
      <x:c r="AL3" s="16" t="n">
        <x:v>0.000046</x:v>
      </x:c>
      <x:c r="AM3" s="12" t="str">
        <x:v>RECORR_000002</x:v>
      </x:c>
      <x:c r="AN3" s="12" t="str">
        <x:v>10.3390/ma12203359</x:v>
      </x:c>
      <x:c r="AO3" s="12" t="str">
        <x:v>https://pmc.ncbi.nlm.nih.gov/articles/PMC6829360/</x:v>
      </x:c>
      <x:c r="AP3" s="12" t="str">
        <x:v>Table 2; composition Table 1; methods 2.2.1</x:v>
      </x:c>
      <x:c r="AQ3" s="12" t="str">
        <x:v>legacy_curated_not_reaudited_in_this_batch</x:v>
      </x:c>
      <x:c r="AR3" s="12" t="str">
        <x:v>reported_numeric</x:v>
      </x:c>
      <x:c r="AS3" s="12" t="n">
        <x:v>0.000046</x:v>
      </x:c>
      <x:c r="AT3" s="12" t="str">
        <x:v>A/cm2</x:v>
      </x:c>
      <x:c r="AU3" s="12"/>
      <x:c r="AV3" s="12"/>
      <x:c r="AW3" s="12" t="n">
        <x:v>0.005</x:v>
      </x:c>
      <x:c r="AX3" s="12"/>
      <x:c r="AY3" s="12"/>
      <x:c r="AZ3" s="12"/>
      <x:c r="BA3" s="12" t="n">
        <x:v>18</x:v>
      </x:c>
      <x:c r="BB3" s="17" t="b">
        <x:v>0</x:v>
      </x:c>
      <x:c r="BC3" s="17" t="b">
        <x:v>0</x:v>
      </x:c>
      <x:c r="BD3" s="12" t="str">
        <x:v>Mo; T.N.(Total Nitrogen); Nb; V; Ti; Al; Sb; Ce; La; Pr; W; Y; Fe; PREN; 열처리 온도(°C); Time(min); 냉각방식; 침지시간(min)</x:v>
      </x:c>
      <x:c r="BE3" s="12" t="str">
        <x:v>Al vs Ti/Zr 탈산법 동시 변화; RE 인과효과로 해석 금지; reported_sample</x:v>
      </x:c>
    </x:row>
    <x:row r="4" ht="40" customHeight="1">
      <x:c r="A4" s="12" t="n">
        <x:v>8</x:v>
      </x:c>
      <x:c r="B4" s="13" t="str">
        <x:v>Cu-Cr-Ni 미세합금 해양강(탈산방식 비교)</x:v>
      </x:c>
      <x:c r="C4" s="13" t="str">
        <x:v>Tang2019_TiZrRE</x:v>
      </x:c>
      <x:c r="D4" s="14" t="n">
        <x:v>0.05</x:v>
      </x:c>
      <x:c r="E4" s="14" t="n">
        <x:v>0.22</x:v>
      </x:c>
      <x:c r="F4" s="14" t="n">
        <x:v>0.13</x:v>
      </x:c>
      <x:c r="G4" s="14" t="n">
        <x:v>0.005</x:v>
      </x:c>
      <x:c r="H4" s="14" t="n">
        <x:v>0.003</x:v>
      </x:c>
      <x:c r="I4" s="14" t="n">
        <x:v>1.22</x:v>
      </x:c>
      <x:c r="J4" s="14" t="n">
        <x:v>0.33</x:v>
      </x:c>
      <x:c r="K4" s="14"/>
      <x:c r="L4" s="14" t="n">
        <x:v>0.43</x:v>
      </x:c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 t="n">
        <x:v>0.005</x:v>
      </x:c>
      <x:c r="Y4" s="12"/>
      <x:c r="Z4" s="12"/>
      <x:c r="AA4" s="15"/>
      <x:c r="AB4" s="15"/>
      <x:c r="AC4" s="12"/>
      <x:c r="AD4" s="12" t="str">
        <x:v>NaCl</x:v>
      </x:c>
      <x:c r="AE4" s="12" t="n">
        <x:v>3.5</x:v>
      </x:c>
      <x:c r="AF4" s="12"/>
      <x:c r="AG4" s="12"/>
      <x:c r="AH4" s="12" t="n">
        <x:v>25</x:v>
      </x:c>
      <x:c r="AI4" s="12" t="str">
        <x:v>SCE</x:v>
      </x:c>
      <x:c r="AJ4" s="12" t="n">
        <x:v>0.333</x:v>
      </x:c>
      <x:c r="AK4" s="16" t="n">
        <x:v>-0.237</x:v>
      </x:c>
      <x:c r="AL4" s="16" t="n">
        <x:v>0.0000293</x:v>
      </x:c>
      <x:c r="AM4" s="12" t="str">
        <x:v>RECORR_000003</x:v>
      </x:c>
      <x:c r="AN4" s="12" t="str">
        <x:v>10.3390/ma12203359</x:v>
      </x:c>
      <x:c r="AO4" s="12" t="str">
        <x:v>https://pmc.ncbi.nlm.nih.gov/articles/PMC6829360/</x:v>
      </x:c>
      <x:c r="AP4" s="12" t="str">
        <x:v>Table 2; composition Table 1; methods 2.2.1</x:v>
      </x:c>
      <x:c r="AQ4" s="12" t="str">
        <x:v>legacy_curated_not_reaudited_in_this_batch</x:v>
      </x:c>
      <x:c r="AR4" s="12" t="str">
        <x:v>reported_numeric</x:v>
      </x:c>
      <x:c r="AS4" s="12" t="n">
        <x:v>0.0000293</x:v>
      </x:c>
      <x:c r="AT4" s="12" t="str">
        <x:v>A/cm2</x:v>
      </x:c>
      <x:c r="AU4" s="12"/>
      <x:c r="AV4" s="12"/>
      <x:c r="AW4" s="12" t="n">
        <x:v>0.005</x:v>
      </x:c>
      <x:c r="AX4" s="12"/>
      <x:c r="AY4" s="12"/>
      <x:c r="AZ4" s="12"/>
      <x:c r="BA4" s="12" t="n">
        <x:v>18</x:v>
      </x:c>
      <x:c r="BB4" s="17" t="b">
        <x:v>0</x:v>
      </x:c>
      <x:c r="BC4" s="17" t="b">
        <x:v>0</x:v>
      </x:c>
      <x:c r="BD4" s="12" t="str">
        <x:v>Mo; T.N.(Total Nitrogen); Nb; V; Ti; Al; Sb; Ce; La; Pr; W; Y; Fe; PREN; 열처리 온도(°C); Time(min); 냉각방식; 침지시간(min)</x:v>
      </x:c>
      <x:c r="BE4" s="12" t="str">
        <x:v>Al vs Ti/Zr 탈산법 동시 변화; RE 인과효과로 해석 금지; reported_sample</x:v>
      </x:c>
    </x:row>
    <x:row r="5" ht="40" customHeight="1">
      <x:c r="A5" s="12" t="n">
        <x:v>13</x:v>
      </x:c>
      <x:c r="B5" s="13" t="str">
        <x:v>0.4Sb 저합금강</x:v>
      </x:c>
      <x:c r="C5" s="13" t="str">
        <x:v>2685_0RE</x:v>
      </x:c>
      <x:c r="D5" s="14" t="n">
        <x:v>0.05</x:v>
      </x:c>
      <x:c r="E5" s="14" t="n">
        <x:v>0.5</x:v>
      </x:c>
      <x:c r="F5" s="14" t="n">
        <x:v>1.5</x:v>
      </x:c>
      <x:c r="G5" s="14"/>
      <x:c r="H5" s="14"/>
      <x:c r="I5" s="14" t="n">
        <x:v>2</x:v>
      </x:c>
      <x:c r="J5" s="14" t="n">
        <x:v>1</x:v>
      </x:c>
      <x:c r="K5" s="14" t="n">
        <x:v>0.25</x:v>
      </x:c>
      <x:c r="L5" s="14" t="n">
        <x:v>0.5</x:v>
      </x:c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2"/>
      <x:c r="Z5" s="12"/>
      <x:c r="AA5" s="15"/>
      <x:c r="AB5" s="15"/>
      <x:c r="AC5" s="12" t="str">
        <x:v>controlled_cooling</x:v>
      </x:c>
      <x:c r="AD5" s="12" t="str">
        <x:v>NaCl_CaCl2_Na2SO4</x:v>
      </x:c>
      <x:c r="AE5" s="12"/>
      <x:c r="AF5" s="12"/>
      <x:c r="AG5" s="12"/>
      <x:c r="AH5" s="12"/>
      <x:c r="AI5" s="12" t="str">
        <x:v>SCE</x:v>
      </x:c>
      <x:c r="AJ5" s="12" t="n">
        <x:v>0.333</x:v>
      </x:c>
      <x:c r="AK5" s="16"/>
      <x:c r="AL5" s="16" t="n">
        <x:v>0.00000189</x:v>
      </x:c>
      <x:c r="AM5" s="12" t="str">
        <x:v>RECORR_000004</x:v>
      </x:c>
      <x:c r="AN5" s="12" t="str">
        <x:v>10.3390/ma19122685</x:v>
      </x:c>
      <x:c r="AO5" s="12" t="str">
        <x:v>https://www.mdpi.com/1996-1944/19/12/2685</x:v>
      </x:c>
      <x:c r="AP5" s="12" t="str">
        <x:v>Table 2; Table 1; methods 2.3</x:v>
      </x:c>
      <x:c r="AQ5" s="12" t="str">
        <x:v>legacy_curated_not_reaudited_in_this_batch</x:v>
      </x:c>
      <x:c r="AR5" s="12" t="str">
        <x:v>reported_numeric</x:v>
      </x:c>
      <x:c r="AS5" s="12" t="n">
        <x:v>0.00000189</x:v>
      </x:c>
      <x:c r="AT5" s="12" t="str">
        <x:v>A/cm2</x:v>
      </x:c>
      <x:c r="AU5" s="12"/>
      <x:c r="AV5" s="12"/>
      <x:c r="AW5" s="12" t="n">
        <x:v>0</x:v>
      </x:c>
      <x:c r="AX5" s="12"/>
      <x:c r="AY5" s="12"/>
      <x:c r="AZ5" s="12"/>
      <x:c r="BA5" s="12" t="n">
        <x:v>22</x:v>
      </x:c>
      <x:c r="BB5" s="17" t="b">
        <x:v>0</x:v>
      </x:c>
      <x:c r="BC5" s="17" t="b">
        <x:v>0</x:v>
      </x:c>
      <x:c r="BD5" s="12" t="str">
        <x:v>P; S; T.N.(Total Nitrogen); Nb; V; Ti; Al; Sb; Ce; La; Pr; W; Y; La+Ce_합산; Fe; PREN; 열처리 온도(°C); Time(min); 전해질 농도(wt%); 침지시간(min); 온도(°C); Ecorr(V)</x:v>
      </x:c>
      <x:c r="BE5" s="12" t="str">
        <x:v>Sb 동시 변화; Ecorr 원문 mV/수치 불일치; reported_sample</x:v>
      </x:c>
    </x:row>
    <x:row r="6" ht="40" customHeight="1">
      <x:c r="A6" s="12" t="n">
        <x:v>13</x:v>
      </x:c>
      <x:c r="B6" s="13" t="str">
        <x:v>0.4Sb 저합금강</x:v>
      </x:c>
      <x:c r="C6" s="13" t="str">
        <x:v>2685_003LaCe</x:v>
      </x:c>
      <x:c r="D6" s="14" t="n">
        <x:v>0.05</x:v>
      </x:c>
      <x:c r="E6" s="14" t="n">
        <x:v>0.5</x:v>
      </x:c>
      <x:c r="F6" s="14" t="n">
        <x:v>1.5</x:v>
      </x:c>
      <x:c r="G6" s="14"/>
      <x:c r="H6" s="14"/>
      <x:c r="I6" s="14" t="n">
        <x:v>2</x:v>
      </x:c>
      <x:c r="J6" s="14" t="n">
        <x:v>1</x:v>
      </x:c>
      <x:c r="K6" s="14" t="n">
        <x:v>0.25</x:v>
      </x:c>
      <x:c r="L6" s="14" t="n">
        <x:v>0.5</x:v>
      </x:c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 t="n">
        <x:v>0.036</x:v>
      </x:c>
      <x:c r="Y6" s="12"/>
      <x:c r="Z6" s="12"/>
      <x:c r="AA6" s="15"/>
      <x:c r="AB6" s="15"/>
      <x:c r="AC6" s="12" t="str">
        <x:v>controlled_cooling</x:v>
      </x:c>
      <x:c r="AD6" s="12" t="str">
        <x:v>NaCl_CaCl2_Na2SO4</x:v>
      </x:c>
      <x:c r="AE6" s="12"/>
      <x:c r="AF6" s="12"/>
      <x:c r="AG6" s="12"/>
      <x:c r="AH6" s="12"/>
      <x:c r="AI6" s="12" t="str">
        <x:v>SCE</x:v>
      </x:c>
      <x:c r="AJ6" s="12" t="n">
        <x:v>0.333</x:v>
      </x:c>
      <x:c r="AK6" s="16"/>
      <x:c r="AL6" s="16" t="n">
        <x:v>0.00000183</x:v>
      </x:c>
      <x:c r="AM6" s="12" t="str">
        <x:v>RECORR_000005</x:v>
      </x:c>
      <x:c r="AN6" s="12" t="str">
        <x:v>10.3390/ma19122685</x:v>
      </x:c>
      <x:c r="AO6" s="12" t="str">
        <x:v>https://www.mdpi.com/1996-1944/19/12/2685</x:v>
      </x:c>
      <x:c r="AP6" s="12" t="str">
        <x:v>Table 2; Table 1; methods 2.3</x:v>
      </x:c>
      <x:c r="AQ6" s="12" t="str">
        <x:v>legacy_curated_not_reaudited_in_this_batch</x:v>
      </x:c>
      <x:c r="AR6" s="12" t="str">
        <x:v>reported_numeric</x:v>
      </x:c>
      <x:c r="AS6" s="12" t="n">
        <x:v>0.00000183</x:v>
      </x:c>
      <x:c r="AT6" s="12" t="str">
        <x:v>A/cm2</x:v>
      </x:c>
      <x:c r="AU6" s="12"/>
      <x:c r="AV6" s="12"/>
      <x:c r="AW6" s="12" t="n">
        <x:v>0.036</x:v>
      </x:c>
      <x:c r="AX6" s="12"/>
      <x:c r="AY6" s="12"/>
      <x:c r="AZ6" s="12"/>
      <x:c r="BA6" s="12" t="n">
        <x:v>21</x:v>
      </x:c>
      <x:c r="BB6" s="17" t="b">
        <x:v>0</x:v>
      </x:c>
      <x:c r="BC6" s="17" t="b">
        <x:v>0</x:v>
      </x:c>
      <x:c r="BD6" s="12" t="str">
        <x:v>P; S; T.N.(Total Nitrogen); Nb; V; Ti; Al; Sb; Ce; La; Pr; W; Y; Fe; PREN; 열처리 온도(°C); Time(min); 전해질 농도(wt%); 침지시간(min); 온도(°C); Ecorr(V)</x:v>
      </x:c>
      <x:c r="BE6" s="12" t="str">
        <x:v>Sb 동시 변화; Ecorr 원문 mV/수치 불일치; reported_sample</x:v>
      </x:c>
    </x:row>
    <x:row r="7" ht="40" customHeight="1">
      <x:c r="A7" s="12" t="n">
        <x:v>13</x:v>
      </x:c>
      <x:c r="B7" s="13" t="str">
        <x:v>0.4Sb 저합금강</x:v>
      </x:c>
      <x:c r="C7" s="13" t="str">
        <x:v>2685_03LaCe</x:v>
      </x:c>
      <x:c r="D7" s="14" t="n">
        <x:v>0.05</x:v>
      </x:c>
      <x:c r="E7" s="14" t="n">
        <x:v>0.5</x:v>
      </x:c>
      <x:c r="F7" s="14" t="n">
        <x:v>1.5</x:v>
      </x:c>
      <x:c r="G7" s="14"/>
      <x:c r="H7" s="14"/>
      <x:c r="I7" s="14" t="n">
        <x:v>2</x:v>
      </x:c>
      <x:c r="J7" s="14" t="n">
        <x:v>1</x:v>
      </x:c>
      <x:c r="K7" s="14" t="n">
        <x:v>0.25</x:v>
      </x:c>
      <x:c r="L7" s="14" t="n">
        <x:v>0.5</x:v>
      </x:c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 t="n">
        <x:v>0.33</x:v>
      </x:c>
      <x:c r="Y7" s="12"/>
      <x:c r="Z7" s="12"/>
      <x:c r="AA7" s="15"/>
      <x:c r="AB7" s="15"/>
      <x:c r="AC7" s="12" t="str">
        <x:v>controlled_cooling</x:v>
      </x:c>
      <x:c r="AD7" s="12" t="str">
        <x:v>NaCl_CaCl2_Na2SO4</x:v>
      </x:c>
      <x:c r="AE7" s="12"/>
      <x:c r="AF7" s="12"/>
      <x:c r="AG7" s="12"/>
      <x:c r="AH7" s="12"/>
      <x:c r="AI7" s="12" t="str">
        <x:v>SCE</x:v>
      </x:c>
      <x:c r="AJ7" s="12" t="n">
        <x:v>0.333</x:v>
      </x:c>
      <x:c r="AK7" s="16"/>
      <x:c r="AL7" s="16" t="n">
        <x:v>0.00000129</x:v>
      </x:c>
      <x:c r="AM7" s="12" t="str">
        <x:v>RECORR_000006</x:v>
      </x:c>
      <x:c r="AN7" s="12" t="str">
        <x:v>10.3390/ma19122685</x:v>
      </x:c>
      <x:c r="AO7" s="12" t="str">
        <x:v>https://www.mdpi.com/1996-1944/19/12/2685</x:v>
      </x:c>
      <x:c r="AP7" s="12" t="str">
        <x:v>Table 2; Table 1; methods 2.3</x:v>
      </x:c>
      <x:c r="AQ7" s="12" t="str">
        <x:v>legacy_curated_not_reaudited_in_this_batch</x:v>
      </x:c>
      <x:c r="AR7" s="12" t="str">
        <x:v>reported_numeric</x:v>
      </x:c>
      <x:c r="AS7" s="12" t="n">
        <x:v>0.00000129</x:v>
      </x:c>
      <x:c r="AT7" s="12" t="str">
        <x:v>A/cm2</x:v>
      </x:c>
      <x:c r="AU7" s="12"/>
      <x:c r="AV7" s="12"/>
      <x:c r="AW7" s="12" t="n">
        <x:v>0.33</x:v>
      </x:c>
      <x:c r="AX7" s="12"/>
      <x:c r="AY7" s="12"/>
      <x:c r="AZ7" s="12"/>
      <x:c r="BA7" s="12" t="n">
        <x:v>21</x:v>
      </x:c>
      <x:c r="BB7" s="17" t="b">
        <x:v>0</x:v>
      </x:c>
      <x:c r="BC7" s="17" t="b">
        <x:v>0</x:v>
      </x:c>
      <x:c r="BD7" s="12" t="str">
        <x:v>P; S; T.N.(Total Nitrogen); Nb; V; Ti; Al; Sb; Ce; La; Pr; W; Y; Fe; PREN; 열처리 온도(°C); Time(min); 전해질 농도(wt%); 침지시간(min); 온도(°C); Ecorr(V)</x:v>
      </x:c>
      <x:c r="BE7" s="12" t="str">
        <x:v>Sb 동시 변화; Ecorr 원문 mV/수치 불일치; reported_sample</x:v>
      </x:c>
    </x:row>
    <x:row r="8" ht="40" customHeight="1">
      <x:c r="A8" s="12" t="n">
        <x:v>9</x:v>
      </x:c>
      <x:c r="B8" s="13" t="str">
        <x:v>316L 스테인리스강</x:v>
      </x:c>
      <x:c r="C8" s="13" t="str">
        <x:v>316L_no1</x:v>
      </x:c>
      <x:c r="D8" s="14" t="n">
        <x:v>0.015</x:v>
      </x:c>
      <x:c r="E8" s="14" t="n">
        <x:v>0.965</x:v>
      </x:c>
      <x:c r="F8" s="14" t="n">
        <x:v>1.92</x:v>
      </x:c>
      <x:c r="G8" s="14" t="n">
        <x:v>0.006</x:v>
      </x:c>
      <x:c r="H8" s="14" t="n">
        <x:v>0.005</x:v>
      </x:c>
      <x:c r="I8" s="14" t="n">
        <x:v>18.62</x:v>
      </x:c>
      <x:c r="J8" s="14" t="n">
        <x:v>13.55</x:v>
      </x:c>
      <x:c r="K8" s="14" t="n">
        <x:v>2</x:v>
      </x:c>
      <x:c r="L8" s="14" t="n">
        <x:v>0.352</x:v>
      </x:c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2"/>
      <x:c r="Z8" s="12"/>
      <x:c r="AA8" s="15" t="n">
        <x:v>1050</x:v>
      </x:c>
      <x:c r="AB8" s="15"/>
      <x:c r="AC8" s="12"/>
      <x:c r="AD8" s="12" t="str">
        <x:v>NaCl</x:v>
      </x:c>
      <x:c r="AE8" s="12" t="n">
        <x:v>3.5</x:v>
      </x:c>
      <x:c r="AF8" s="12"/>
      <x:c r="AG8" s="12"/>
      <x:c r="AH8" s="12"/>
      <x:c r="AI8" s="12" t="str">
        <x:v>SCE</x:v>
      </x:c>
      <x:c r="AJ8" s="12" t="n">
        <x:v>0.167</x:v>
      </x:c>
      <x:c r="AK8" s="16" t="n">
        <x:v>-0.329</x:v>
      </x:c>
      <x:c r="AL8" s="16" t="n">
        <x:v>0.00000307</x:v>
      </x:c>
      <x:c r="AM8" s="12" t="str">
        <x:v>RECORR_000007</x:v>
      </x:c>
      <x:c r="AN8" s="12" t="str">
        <x:v>10.3390/ma18010069</x:v>
      </x:c>
      <x:c r="AO8" s="12" t="str">
        <x:v>https://www.mdpi.com/1996-1944/18/1/69</x:v>
      </x:c>
      <x:c r="AP8" s="12" t="str">
        <x:v>원문 composition/polarization tables; electrochemical methods</x:v>
      </x:c>
      <x:c r="AQ8" s="12" t="str">
        <x:v>legacy_curated_not_reaudited_in_this_batch</x:v>
      </x:c>
      <x:c r="AR8" s="12" t="str">
        <x:v>reported_numeric</x:v>
      </x:c>
      <x:c r="AS8" s="12" t="n">
        <x:v>0.00000307</x:v>
      </x:c>
      <x:c r="AT8" s="12" t="str">
        <x:v>A/cm2</x:v>
      </x:c>
      <x:c r="AU8" s="12"/>
      <x:c r="AV8" s="12"/>
      <x:c r="AW8" s="12" t="n">
        <x:v>0</x:v>
      </x:c>
      <x:c r="AX8" s="12"/>
      <x:c r="AY8" s="12"/>
      <x:c r="AZ8" s="12"/>
      <x:c r="BA8" s="12" t="n">
        <x:v>18</x:v>
      </x:c>
      <x:c r="BB8" s="17" t="b">
        <x:v>0</x:v>
      </x:c>
      <x:c r="BC8" s="17" t="b">
        <x:v>0</x:v>
      </x:c>
      <x:c r="BD8" s="12" t="str">
        <x:v>T.N.(Total Nitrogen); Nb; V; Ti; Al; Sb; Ce; La; Pr; W; Y; La+Ce_합산; Fe; PREN; Time(min); 냉각방식; 침지시간(min); 온도(°C)</x:v>
      </x:c>
      <x:c r="BE8" s="12" t="str">
        <x:v>용체화1050°C; 별도 FeCl3 시험조건은 PDP에 넣지 않음; reported_sample</x:v>
      </x:c>
    </x:row>
    <x:row r="9" ht="40" customHeight="1">
      <x:c r="A9" s="12" t="n">
        <x:v>9</x:v>
      </x:c>
      <x:c r="B9" s="13" t="str">
        <x:v>316L 스테인리스강</x:v>
      </x:c>
      <x:c r="C9" s="13" t="str">
        <x:v>316L_no2</x:v>
      </x:c>
      <x:c r="D9" s="14" t="n">
        <x:v>0.013</x:v>
      </x:c>
      <x:c r="E9" s="14" t="n">
        <x:v>0.962</x:v>
      </x:c>
      <x:c r="F9" s="14" t="n">
        <x:v>1.92</x:v>
      </x:c>
      <x:c r="G9" s="14" t="n">
        <x:v>0.005</x:v>
      </x:c>
      <x:c r="H9" s="14" t="n">
        <x:v>0.004</x:v>
      </x:c>
      <x:c r="I9" s="14" t="n">
        <x:v>18.71</x:v>
      </x:c>
      <x:c r="J9" s="14" t="n">
        <x:v>13.57</x:v>
      </x:c>
      <x:c r="K9" s="14" t="n">
        <x:v>2.05</x:v>
      </x:c>
      <x:c r="L9" s="14" t="n">
        <x:v>0.351</x:v>
      </x:c>
      <x:c r="M9" s="14"/>
      <x:c r="N9" s="14"/>
      <x:c r="O9" s="14"/>
      <x:c r="P9" s="14"/>
      <x:c r="Q9" s="14"/>
      <x:c r="R9" s="14"/>
      <x:c r="S9" s="14" t="n">
        <x:v>0.0023</x:v>
      </x:c>
      <x:c r="T9" s="14"/>
      <x:c r="U9" s="14"/>
      <x:c r="V9" s="14"/>
      <x:c r="W9" s="14"/>
      <x:c r="X9" s="14"/>
      <x:c r="Y9" s="12"/>
      <x:c r="Z9" s="12"/>
      <x:c r="AA9" s="15" t="n">
        <x:v>1050</x:v>
      </x:c>
      <x:c r="AB9" s="15"/>
      <x:c r="AC9" s="12"/>
      <x:c r="AD9" s="12" t="str">
        <x:v>NaCl</x:v>
      </x:c>
      <x:c r="AE9" s="12" t="n">
        <x:v>3.5</x:v>
      </x:c>
      <x:c r="AF9" s="12"/>
      <x:c r="AG9" s="12"/>
      <x:c r="AH9" s="12"/>
      <x:c r="AI9" s="12" t="str">
        <x:v>SCE</x:v>
      </x:c>
      <x:c r="AJ9" s="12" t="n">
        <x:v>0.167</x:v>
      </x:c>
      <x:c r="AK9" s="16" t="n">
        <x:v>-0.202</x:v>
      </x:c>
      <x:c r="AL9" s="16" t="n">
        <x:v>0.00000213</x:v>
      </x:c>
      <x:c r="AM9" s="12" t="str">
        <x:v>RECORR_000008</x:v>
      </x:c>
      <x:c r="AN9" s="12" t="str">
        <x:v>10.3390/ma18010069</x:v>
      </x:c>
      <x:c r="AO9" s="12" t="str">
        <x:v>https://www.mdpi.com/1996-1944/18/1/69</x:v>
      </x:c>
      <x:c r="AP9" s="12" t="str">
        <x:v>원문 composition/polarization tables; electrochemical methods</x:v>
      </x:c>
      <x:c r="AQ9" s="12" t="str">
        <x:v>legacy_curated_not_reaudited_in_this_batch</x:v>
      </x:c>
      <x:c r="AR9" s="12" t="str">
        <x:v>reported_numeric</x:v>
      </x:c>
      <x:c r="AS9" s="12" t="n">
        <x:v>0.00000213</x:v>
      </x:c>
      <x:c r="AT9" s="12" t="str">
        <x:v>A/cm2</x:v>
      </x:c>
      <x:c r="AU9" s="12"/>
      <x:c r="AV9" s="12"/>
      <x:c r="AW9" s="12" t="n">
        <x:v>0.0023</x:v>
      </x:c>
      <x:c r="AX9" s="12"/>
      <x:c r="AY9" s="12"/>
      <x:c r="AZ9" s="12"/>
      <x:c r="BA9" s="12" t="n">
        <x:v>17</x:v>
      </x:c>
      <x:c r="BB9" s="17" t="b">
        <x:v>0</x:v>
      </x:c>
      <x:c r="BC9" s="17" t="b">
        <x:v>0</x:v>
      </x:c>
      <x:c r="BD9" s="12" t="str">
        <x:v>T.N.(Total Nitrogen); Nb; V; Ti; Al; Sb; La; Pr; W; Y; La+Ce_합산; Fe; PREN; Time(min); 냉각방식; 침지시간(min); 온도(°C)</x:v>
      </x:c>
      <x:c r="BE9" s="12" t="str">
        <x:v>용체화1050°C; 별도 FeCl3 시험조건은 PDP에 넣지 않음; reported_sample</x:v>
      </x:c>
    </x:row>
    <x:row r="10" ht="40" customHeight="1">
      <x:c r="A10" s="12" t="n">
        <x:v>9</x:v>
      </x:c>
      <x:c r="B10" s="13" t="str">
        <x:v>316L 스테인리스강</x:v>
      </x:c>
      <x:c r="C10" s="13" t="str">
        <x:v>316L_no3</x:v>
      </x:c>
      <x:c r="D10" s="14" t="n">
        <x:v>0.016</x:v>
      </x:c>
      <x:c r="E10" s="14" t="n">
        <x:v>0.961</x:v>
      </x:c>
      <x:c r="F10" s="14" t="n">
        <x:v>1.89</x:v>
      </x:c>
      <x:c r="G10" s="14" t="n">
        <x:v>0.006</x:v>
      </x:c>
      <x:c r="H10" s="14" t="n">
        <x:v>0.005</x:v>
      </x:c>
      <x:c r="I10" s="14" t="n">
        <x:v>18.69</x:v>
      </x:c>
      <x:c r="J10" s="14" t="n">
        <x:v>13.5</x:v>
      </x:c>
      <x:c r="K10" s="14" t="n">
        <x:v>2.06</x:v>
      </x:c>
      <x:c r="L10" s="14" t="n">
        <x:v>0.354</x:v>
      </x:c>
      <x:c r="M10" s="14"/>
      <x:c r="N10" s="14"/>
      <x:c r="O10" s="14"/>
      <x:c r="P10" s="14"/>
      <x:c r="Q10" s="14"/>
      <x:c r="R10" s="14"/>
      <x:c r="S10" s="14" t="n">
        <x:v>0.0082</x:v>
      </x:c>
      <x:c r="T10" s="14"/>
      <x:c r="U10" s="14"/>
      <x:c r="V10" s="14"/>
      <x:c r="W10" s="14"/>
      <x:c r="X10" s="14"/>
      <x:c r="Y10" s="12"/>
      <x:c r="Z10" s="12"/>
      <x:c r="AA10" s="15" t="n">
        <x:v>1050</x:v>
      </x:c>
      <x:c r="AB10" s="15"/>
      <x:c r="AC10" s="12"/>
      <x:c r="AD10" s="12" t="str">
        <x:v>NaCl</x:v>
      </x:c>
      <x:c r="AE10" s="12" t="n">
        <x:v>3.5</x:v>
      </x:c>
      <x:c r="AF10" s="12"/>
      <x:c r="AG10" s="12"/>
      <x:c r="AH10" s="12"/>
      <x:c r="AI10" s="12" t="str">
        <x:v>SCE</x:v>
      </x:c>
      <x:c r="AJ10" s="12" t="n">
        <x:v>0.167</x:v>
      </x:c>
      <x:c r="AK10" s="16" t="n">
        <x:v>-0.031</x:v>
      </x:c>
      <x:c r="AL10" s="16" t="n">
        <x:v>0.00000171</x:v>
      </x:c>
      <x:c r="AM10" s="12" t="str">
        <x:v>RECORR_000009</x:v>
      </x:c>
      <x:c r="AN10" s="12" t="str">
        <x:v>10.3390/ma18010069</x:v>
      </x:c>
      <x:c r="AO10" s="12" t="str">
        <x:v>https://www.mdpi.com/1996-1944/18/1/69</x:v>
      </x:c>
      <x:c r="AP10" s="12" t="str">
        <x:v>원문 composition/polarization tables; electrochemical methods</x:v>
      </x:c>
      <x:c r="AQ10" s="12" t="str">
        <x:v>legacy_curated_not_reaudited_in_this_batch</x:v>
      </x:c>
      <x:c r="AR10" s="12" t="str">
        <x:v>reported_numeric</x:v>
      </x:c>
      <x:c r="AS10" s="12" t="n">
        <x:v>0.00000171</x:v>
      </x:c>
      <x:c r="AT10" s="12" t="str">
        <x:v>A/cm2</x:v>
      </x:c>
      <x:c r="AU10" s="12"/>
      <x:c r="AV10" s="12"/>
      <x:c r="AW10" s="12" t="n">
        <x:v>0.0082</x:v>
      </x:c>
      <x:c r="AX10" s="12"/>
      <x:c r="AY10" s="12"/>
      <x:c r="AZ10" s="12"/>
      <x:c r="BA10" s="12" t="n">
        <x:v>17</x:v>
      </x:c>
      <x:c r="BB10" s="17" t="b">
        <x:v>0</x:v>
      </x:c>
      <x:c r="BC10" s="17" t="b">
        <x:v>0</x:v>
      </x:c>
      <x:c r="BD10" s="12" t="str">
        <x:v>T.N.(Total Nitrogen); Nb; V; Ti; Al; Sb; La; Pr; W; Y; La+Ce_합산; Fe; PREN; Time(min); 냉각방식; 침지시간(min); 온도(°C)</x:v>
      </x:c>
      <x:c r="BE10" s="12" t="str">
        <x:v>용체화1050°C; 별도 FeCl3 시험조건은 PDP에 넣지 않음; reported_sample</x:v>
      </x:c>
    </x:row>
    <x:row r="11" ht="40" customHeight="1">
      <x:c r="A11" s="12" t="n">
        <x:v>4</x:v>
      </x:c>
      <x:c r="B11" s="13" t="str">
        <x:v>EH36 해양플랫폼강</x:v>
      </x:c>
      <x:c r="C11" s="13" t="str">
        <x:v>EH36_0</x:v>
      </x:c>
      <x:c r="D11" s="14" t="n">
        <x:v>0.1118</x:v>
      </x:c>
      <x:c r="E11" s="14" t="n">
        <x:v>0.1994</x:v>
      </x:c>
      <x:c r="F11" s="14" t="n">
        <x:v>1.5595</x:v>
      </x:c>
      <x:c r="G11" s="14" t="n">
        <x:v>0.0156</x:v>
      </x:c>
      <x:c r="H11" s="14" t="n">
        <x:v>0.0039</x:v>
      </x:c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2"/>
      <x:c r="Z11" s="12"/>
      <x:c r="AA11" s="15"/>
      <x:c r="AB11" s="15"/>
      <x:c r="AC11" s="12" t="str">
        <x:v>air_cool</x:v>
      </x:c>
      <x:c r="AD11" s="12" t="str">
        <x:v>NaCl</x:v>
      </x:c>
      <x:c r="AE11" s="12" t="n">
        <x:v>3.5</x:v>
      </x:c>
      <x:c r="AF11" s="12"/>
      <x:c r="AG11" s="12"/>
      <x:c r="AH11" s="12" t="n">
        <x:v>25</x:v>
      </x:c>
      <x:c r="AI11" s="12" t="str">
        <x:v>SCE</x:v>
      </x:c>
      <x:c r="AJ11" s="12" t="n">
        <x:v>2</x:v>
      </x:c>
      <x:c r="AK11" s="16"/>
      <x:c r="AL11" s="16" t="n">
        <x:v>0.000182</x:v>
      </x:c>
      <x:c r="AM11" s="12" t="str">
        <x:v>RECORR_000010</x:v>
      </x:c>
      <x:c r="AN11" s="12" t="str">
        <x:v>10.3390/coatings14040413</x:v>
      </x:c>
      <x:c r="AO11" s="12" t="str">
        <x:v>https://www.mdpi.com/2079-6412/14/4/413</x:v>
      </x:c>
      <x:c r="AP11" s="12" t="str">
        <x:v>Abstract; section 3.4; Tables 1–2</x:v>
      </x:c>
      <x:c r="AQ11" s="12" t="str">
        <x:v>legacy_curated_not_reaudited_in_this_batch</x:v>
      </x:c>
      <x:c r="AR11" s="12" t="str">
        <x:v>reported_numeric</x:v>
      </x:c>
      <x:c r="AS11" s="12" t="n">
        <x:v>0.000182</x:v>
      </x:c>
      <x:c r="AT11" s="12" t="str">
        <x:v>A/cm2</x:v>
      </x:c>
      <x:c r="AU11" s="12"/>
      <x:c r="AV11" s="12"/>
      <x:c r="AW11" s="12" t="n">
        <x:v>0</x:v>
      </x:c>
      <x:c r="AX11" s="12"/>
      <x:c r="AY11" s="12"/>
      <x:c r="AZ11" s="12"/>
      <x:c r="BA11" s="12" t="n">
        <x:v>22</x:v>
      </x:c>
      <x:c r="BB11" s="17" t="b">
        <x:v>0</x:v>
      </x:c>
      <x:c r="BC11" s="17" t="b">
        <x:v>0</x:v>
      </x:c>
      <x:c r="BD11" s="12" t="str">
        <x:v>Cr; Ni; Mo; Cu; T.N.(Total Nitrogen); Nb; V; Ti; Al; Sb; Ce; La; Pr; W; Y; La+Ce_합산; Fe; PREN; 열처리 온도(°C); Time(min); 침지시간(min); Ecorr(V)</x:v>
      </x:c>
      <x:c r="BE11" s="12" t="str">
        <x:v>PDP ±5mV 범위 원문 기재; Ce 초록/Table2 불일치; Table2 사용; reported_sample</x:v>
      </x:c>
    </x:row>
    <x:row r="12" ht="40" customHeight="1">
      <x:c r="A12" s="12" t="n">
        <x:v>4</x:v>
      </x:c>
      <x:c r="B12" s="13" t="str">
        <x:v>EH36 해양플랫폼강</x:v>
      </x:c>
      <x:c r="C12" s="13" t="str">
        <x:v>EH36_1La</x:v>
      </x:c>
      <x:c r="D12" s="14" t="n">
        <x:v>0.1118</x:v>
      </x:c>
      <x:c r="E12" s="14" t="n">
        <x:v>0.1994</x:v>
      </x:c>
      <x:c r="F12" s="14" t="n">
        <x:v>1.5595</x:v>
      </x:c>
      <x:c r="G12" s="14" t="n">
        <x:v>0.0156</x:v>
      </x:c>
      <x:c r="H12" s="14" t="n">
        <x:v>0.0039</x:v>
      </x:c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 t="n">
        <x:v>0.0031</x:v>
      </x:c>
      <x:c r="U12" s="14"/>
      <x:c r="V12" s="14"/>
      <x:c r="W12" s="14"/>
      <x:c r="X12" s="14"/>
      <x:c r="Y12" s="12"/>
      <x:c r="Z12" s="12"/>
      <x:c r="AA12" s="15"/>
      <x:c r="AB12" s="15"/>
      <x:c r="AC12" s="12" t="str">
        <x:v>air_cool</x:v>
      </x:c>
      <x:c r="AD12" s="12" t="str">
        <x:v>NaCl</x:v>
      </x:c>
      <x:c r="AE12" s="12" t="n">
        <x:v>3.5</x:v>
      </x:c>
      <x:c r="AF12" s="12"/>
      <x:c r="AG12" s="12"/>
      <x:c r="AH12" s="12" t="n">
        <x:v>25</x:v>
      </x:c>
      <x:c r="AI12" s="12" t="str">
        <x:v>SCE</x:v>
      </x:c>
      <x:c r="AJ12" s="12" t="n">
        <x:v>2</x:v>
      </x:c>
      <x:c r="AK12" s="16"/>
      <x:c r="AL12" s="16" t="n">
        <x:v>0.0000659</x:v>
      </x:c>
      <x:c r="AM12" s="12" t="str">
        <x:v>RECORR_000011</x:v>
      </x:c>
      <x:c r="AN12" s="12" t="str">
        <x:v>10.3390/coatings14040413</x:v>
      </x:c>
      <x:c r="AO12" s="12" t="str">
        <x:v>https://www.mdpi.com/2079-6412/14/4/413</x:v>
      </x:c>
      <x:c r="AP12" s="12" t="str">
        <x:v>Abstract; section 3.4; Tables 1–2</x:v>
      </x:c>
      <x:c r="AQ12" s="12" t="str">
        <x:v>legacy_curated_not_reaudited_in_this_batch</x:v>
      </x:c>
      <x:c r="AR12" s="12" t="str">
        <x:v>reported_numeric</x:v>
      </x:c>
      <x:c r="AS12" s="12" t="n">
        <x:v>0.0000659</x:v>
      </x:c>
      <x:c r="AT12" s="12" t="str">
        <x:v>A/cm2</x:v>
      </x:c>
      <x:c r="AU12" s="12"/>
      <x:c r="AV12" s="12"/>
      <x:c r="AW12" s="12" t="n">
        <x:v>0.0031</x:v>
      </x:c>
      <x:c r="AX12" s="12"/>
      <x:c r="AY12" s="12"/>
      <x:c r="AZ12" s="12"/>
      <x:c r="BA12" s="12" t="n">
        <x:v>21</x:v>
      </x:c>
      <x:c r="BB12" s="17" t="b">
        <x:v>0</x:v>
      </x:c>
      <x:c r="BC12" s="17" t="b">
        <x:v>0</x:v>
      </x:c>
      <x:c r="BD12" s="12" t="str">
        <x:v>Cr; Ni; Mo; Cu; T.N.(Total Nitrogen); Nb; V; Ti; Al; Sb; Ce; Pr; W; Y; La+Ce_합산; Fe; PREN; 열처리 온도(°C); Time(min); 침지시간(min); Ecorr(V)</x:v>
      </x:c>
      <x:c r="BE12" s="12" t="str">
        <x:v>PDP ±5mV 범위 원문 기재; Ce 초록/Table2 불일치; Table2 사용; RE_measured_other_composition_unreported</x:v>
      </x:c>
    </x:row>
    <x:row r="13" ht="40" customHeight="1">
      <x:c r="A13" s="12" t="n">
        <x:v>4</x:v>
      </x:c>
      <x:c r="B13" s="13" t="str">
        <x:v>EH36 해양플랫폼강</x:v>
      </x:c>
      <x:c r="C13" s="13" t="str">
        <x:v>EH36_2Ce</x:v>
      </x:c>
      <x:c r="D13" s="14" t="n">
        <x:v>0.1118</x:v>
      </x:c>
      <x:c r="E13" s="14" t="n">
        <x:v>0.1994</x:v>
      </x:c>
      <x:c r="F13" s="14" t="n">
        <x:v>1.5595</x:v>
      </x:c>
      <x:c r="G13" s="14" t="n">
        <x:v>0.0156</x:v>
      </x:c>
      <x:c r="H13" s="14" t="n">
        <x:v>0.0039</x:v>
      </x:c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 t="n">
        <x:v>0.0024</x:v>
      </x:c>
      <x:c r="T13" s="14"/>
      <x:c r="U13" s="14"/>
      <x:c r="V13" s="14"/>
      <x:c r="W13" s="14"/>
      <x:c r="X13" s="14"/>
      <x:c r="Y13" s="12"/>
      <x:c r="Z13" s="12"/>
      <x:c r="AA13" s="15"/>
      <x:c r="AB13" s="15"/>
      <x:c r="AC13" s="12" t="str">
        <x:v>air_cool</x:v>
      </x:c>
      <x:c r="AD13" s="12" t="str">
        <x:v>NaCl</x:v>
      </x:c>
      <x:c r="AE13" s="12" t="n">
        <x:v>3.5</x:v>
      </x:c>
      <x:c r="AF13" s="12"/>
      <x:c r="AG13" s="12"/>
      <x:c r="AH13" s="12" t="n">
        <x:v>25</x:v>
      </x:c>
      <x:c r="AI13" s="12" t="str">
        <x:v>SCE</x:v>
      </x:c>
      <x:c r="AJ13" s="12" t="n">
        <x:v>2</x:v>
      </x:c>
      <x:c r="AK13" s="16"/>
      <x:c r="AL13" s="16" t="n">
        <x:v>0.0000757</x:v>
      </x:c>
      <x:c r="AM13" s="12" t="str">
        <x:v>RECORR_000012</x:v>
      </x:c>
      <x:c r="AN13" s="12" t="str">
        <x:v>10.3390/coatings14040413</x:v>
      </x:c>
      <x:c r="AO13" s="12" t="str">
        <x:v>https://www.mdpi.com/2079-6412/14/4/413</x:v>
      </x:c>
      <x:c r="AP13" s="12" t="str">
        <x:v>Abstract; section 3.4; Tables 1–2</x:v>
      </x:c>
      <x:c r="AQ13" s="12" t="str">
        <x:v>legacy_curated_not_reaudited_in_this_batch</x:v>
      </x:c>
      <x:c r="AR13" s="12" t="str">
        <x:v>reported_numeric</x:v>
      </x:c>
      <x:c r="AS13" s="12" t="n">
        <x:v>0.0000757</x:v>
      </x:c>
      <x:c r="AT13" s="12" t="str">
        <x:v>A/cm2</x:v>
      </x:c>
      <x:c r="AU13" s="12"/>
      <x:c r="AV13" s="12"/>
      <x:c r="AW13" s="12" t="n">
        <x:v>0.0024</x:v>
      </x:c>
      <x:c r="AX13" s="12"/>
      <x:c r="AY13" s="12"/>
      <x:c r="AZ13" s="12"/>
      <x:c r="BA13" s="12" t="n">
        <x:v>21</x:v>
      </x:c>
      <x:c r="BB13" s="17" t="b">
        <x:v>0</x:v>
      </x:c>
      <x:c r="BC13" s="17" t="b">
        <x:v>0</x:v>
      </x:c>
      <x:c r="BD13" s="12" t="str">
        <x:v>Cr; Ni; Mo; Cu; T.N.(Total Nitrogen); Nb; V; Ti; Al; Sb; La; Pr; W; Y; La+Ce_합산; Fe; PREN; 열처리 온도(°C); Time(min); 침지시간(min); Ecorr(V)</x:v>
      </x:c>
      <x:c r="BE13" s="12" t="str">
        <x:v>PDP ±5mV 범위 원문 기재; Ce 초록/Table2 불일치; Table2 사용; RE_measured_other_composition_unreported</x:v>
      </x:c>
    </x:row>
    <x:row r="14" ht="40" customHeight="1">
      <x:c r="A14" s="12" t="n">
        <x:v>4</x:v>
      </x:c>
      <x:c r="B14" s="13" t="str">
        <x:v>EH36 해양플랫폼강</x:v>
      </x:c>
      <x:c r="C14" s="13" t="str">
        <x:v>EH36_3Pr</x:v>
      </x:c>
      <x:c r="D14" s="14" t="n">
        <x:v>0.1118</x:v>
      </x:c>
      <x:c r="E14" s="14" t="n">
        <x:v>0.1994</x:v>
      </x:c>
      <x:c r="F14" s="14" t="n">
        <x:v>1.5595</x:v>
      </x:c>
      <x:c r="G14" s="14" t="n">
        <x:v>0.0156</x:v>
      </x:c>
      <x:c r="H14" s="14" t="n">
        <x:v>0.0039</x:v>
      </x:c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 t="n">
        <x:v>0.0001</x:v>
      </x:c>
      <x:c r="V14" s="14"/>
      <x:c r="W14" s="14"/>
      <x:c r="X14" s="14"/>
      <x:c r="Y14" s="12"/>
      <x:c r="Z14" s="12"/>
      <x:c r="AA14" s="15"/>
      <x:c r="AB14" s="15"/>
      <x:c r="AC14" s="12" t="str">
        <x:v>air_cool</x:v>
      </x:c>
      <x:c r="AD14" s="12" t="str">
        <x:v>NaCl</x:v>
      </x:c>
      <x:c r="AE14" s="12" t="n">
        <x:v>3.5</x:v>
      </x:c>
      <x:c r="AF14" s="12"/>
      <x:c r="AG14" s="12"/>
      <x:c r="AH14" s="12" t="n">
        <x:v>25</x:v>
      </x:c>
      <x:c r="AI14" s="12" t="str">
        <x:v>SCE</x:v>
      </x:c>
      <x:c r="AJ14" s="12" t="n">
        <x:v>2</x:v>
      </x:c>
      <x:c r="AK14" s="16"/>
      <x:c r="AL14" s="16" t="n">
        <x:v>0.0000953</x:v>
      </x:c>
      <x:c r="AM14" s="12" t="str">
        <x:v>RECORR_000013</x:v>
      </x:c>
      <x:c r="AN14" s="12" t="str">
        <x:v>10.3390/coatings14040413</x:v>
      </x:c>
      <x:c r="AO14" s="12" t="str">
        <x:v>https://www.mdpi.com/2079-6412/14/4/413</x:v>
      </x:c>
      <x:c r="AP14" s="12" t="str">
        <x:v>Abstract; section 3.4; Tables 1–2</x:v>
      </x:c>
      <x:c r="AQ14" s="12" t="str">
        <x:v>legacy_curated_not_reaudited_in_this_batch</x:v>
      </x:c>
      <x:c r="AR14" s="12" t="str">
        <x:v>reported_numeric</x:v>
      </x:c>
      <x:c r="AS14" s="12" t="n">
        <x:v>0.0000953</x:v>
      </x:c>
      <x:c r="AT14" s="12" t="str">
        <x:v>A/cm2</x:v>
      </x:c>
      <x:c r="AU14" s="12"/>
      <x:c r="AV14" s="12"/>
      <x:c r="AW14" s="12" t="n">
        <x:v>0.0001</x:v>
      </x:c>
      <x:c r="AX14" s="12"/>
      <x:c r="AY14" s="12"/>
      <x:c r="AZ14" s="12"/>
      <x:c r="BA14" s="12" t="n">
        <x:v>21</x:v>
      </x:c>
      <x:c r="BB14" s="17" t="b">
        <x:v>0</x:v>
      </x:c>
      <x:c r="BC14" s="17" t="b">
        <x:v>0</x:v>
      </x:c>
      <x:c r="BD14" s="12" t="str">
        <x:v>Cr; Ni; Mo; Cu; T.N.(Total Nitrogen); Nb; V; Ti; Al; Sb; Ce; La; W; Y; La+Ce_합산; Fe; PREN; 열처리 온도(°C); Time(min); 침지시간(min); Ecorr(V)</x:v>
      </x:c>
      <x:c r="BE14" s="12" t="str">
        <x:v>PDP ±5mV 범위 원문 기재; Ce 초록/Table2 불일치; Table2 사용; RE_measured_other_composition_unreported</x:v>
      </x:c>
    </x:row>
    <x:row r="15" ht="40" customHeight="1">
      <x:c r="A15" s="12" t="n">
        <x:v>7</x:v>
      </x:c>
      <x:c r="B15" s="13" t="str">
        <x:v>444형 페라이트계 스테인리스강(Ce+W)</x:v>
      </x:c>
      <x:c r="C15" s="13" t="str">
        <x:v>FSS1</x:v>
      </x:c>
      <x:c r="D15" s="14" t="n">
        <x:v>0.006</x:v>
      </x:c>
      <x:c r="E15" s="14" t="n">
        <x:v>0.54</x:v>
      </x:c>
      <x:c r="F15" s="14" t="n">
        <x:v>0.33</x:v>
      </x:c>
      <x:c r="G15" s="14" t="n">
        <x:v>0.006</x:v>
      </x:c>
      <x:c r="H15" s="14" t="n">
        <x:v>0.006</x:v>
      </x:c>
      <x:c r="I15" s="14" t="n">
        <x:v>19.7</x:v>
      </x:c>
      <x:c r="J15" s="14"/>
      <x:c r="K15" s="14" t="n">
        <x:v>2.09</x:v>
      </x:c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 t="n">
        <x:v>0</x:v>
      </x:c>
      <x:c r="W15" s="14"/>
      <x:c r="X15" s="14"/>
      <x:c r="Y15" s="12"/>
      <x:c r="Z15" s="12"/>
      <x:c r="AA15" s="15" t="n">
        <x:v>1000</x:v>
      </x:c>
      <x:c r="AB15" s="15" t="n">
        <x:v>1</x:v>
      </x:c>
      <x:c r="AC15" s="12"/>
      <x:c r="AD15" s="12" t="str">
        <x:v>H2SO4_NaCl</x:v>
      </x:c>
      <x:c r="AE15" s="12"/>
      <x:c r="AF15" s="12"/>
      <x:c r="AG15" s="12"/>
      <x:c r="AH15" s="12" t="n">
        <x:v>25</x:v>
      </x:c>
      <x:c r="AI15" s="12" t="str">
        <x:v>SCE</x:v>
      </x:c>
      <x:c r="AJ15" s="12" t="n">
        <x:v>0.5</x:v>
      </x:c>
      <x:c r="AK15" s="16"/>
      <x:c r="AL15" s="16" t="n">
        <x:v>0.000317</x:v>
      </x:c>
      <x:c r="AM15" s="12" t="str">
        <x:v>NEW_Ma19FSS_FSS1</x:v>
      </x:c>
      <x:c r="AN15" s="12" t="str">
        <x:v>10.20964/2019.03.31</x:v>
      </x:c>
      <x:c r="AO15" s="12" t="str">
        <x:v>https://www.electrochemsci.org/papers/vol14/140302277.pdf</x:v>
      </x:c>
      <x:c r="AP15" s="12" t="str">
        <x:v>Table1; Table2 last icorr column, PDF p4</x:v>
      </x:c>
      <x:c r="AQ15" s="12" t="str">
        <x:v>legacy_curated_not_reaudited_in_this_batch</x:v>
      </x:c>
      <x:c r="AR15" s="12" t="str">
        <x:v>reported_numeric</x:v>
      </x:c>
      <x:c r="AS15" s="12" t="n">
        <x:v>317</x:v>
      </x:c>
      <x:c r="AT15" s="12" t="str">
        <x:v>uA/cm2</x:v>
      </x:c>
      <x:c r="AU15" s="12"/>
      <x:c r="AV15" s="12"/>
      <x:c r="AW15" s="12" t="n">
        <x:v>0</x:v>
      </x:c>
      <x:c r="AX15" s="12"/>
      <x:c r="AY15" s="12"/>
      <x:c r="AZ15" s="12"/>
      <x:c r="BA15" s="12" t="n">
        <x:v>19</x:v>
      </x:c>
      <x:c r="BB15" s="17" t="b">
        <x:v>0</x:v>
      </x:c>
      <x:c r="BC15" s="17" t="b">
        <x:v>0</x:v>
      </x:c>
      <x:c r="BD15" s="12" t="str">
        <x:v>Ni; Cu; T.N.(Total Nitrogen); Nb; V; Ti; Al; Sb; Ce; La; Pr; Y; La+Ce_합산; Fe; PREN; 냉각방식; 전해질 농도(wt%); 침지시간(min); Ecorr(V)</x:v>
      </x:c>
      <x:c r="BE15" s="12" t="str">
        <x:v>W 동시 첨가; Ecorr 부호/단위 모호하므로 Ecorr 미사용; reported_sample</x:v>
      </x:c>
    </x:row>
    <x:row r="16" ht="40" customHeight="1">
      <x:c r="A16" s="12" t="n">
        <x:v>7</x:v>
      </x:c>
      <x:c r="B16" s="13" t="str">
        <x:v>444형 페라이트계 스테인리스강(Ce+W)</x:v>
      </x:c>
      <x:c r="C16" s="13" t="str">
        <x:v>FSS2</x:v>
      </x:c>
      <x:c r="D16" s="14" t="n">
        <x:v>0.009</x:v>
      </x:c>
      <x:c r="E16" s="14" t="n">
        <x:v>0.52</x:v>
      </x:c>
      <x:c r="F16" s="14" t="n">
        <x:v>0.32</x:v>
      </x:c>
      <x:c r="G16" s="14" t="n">
        <x:v>0.008</x:v>
      </x:c>
      <x:c r="H16" s="14" t="n">
        <x:v>0.008</x:v>
      </x:c>
      <x:c r="I16" s="14" t="n">
        <x:v>19.5</x:v>
      </x:c>
      <x:c r="J16" s="14"/>
      <x:c r="K16" s="14" t="n">
        <x:v>1.97</x:v>
      </x:c>
      <x:c r="L16" s="14"/>
      <x:c r="M16" s="14"/>
      <x:c r="N16" s="14"/>
      <x:c r="O16" s="14"/>
      <x:c r="P16" s="14"/>
      <x:c r="Q16" s="14"/>
      <x:c r="R16" s="14"/>
      <x:c r="S16" s="14" t="n">
        <x:v>0.048</x:v>
      </x:c>
      <x:c r="T16" s="14"/>
      <x:c r="U16" s="14"/>
      <x:c r="V16" s="14" t="n">
        <x:v>0</x:v>
      </x:c>
      <x:c r="W16" s="14"/>
      <x:c r="X16" s="14"/>
      <x:c r="Y16" s="12"/>
      <x:c r="Z16" s="12"/>
      <x:c r="AA16" s="15" t="n">
        <x:v>1000</x:v>
      </x:c>
      <x:c r="AB16" s="15" t="n">
        <x:v>1</x:v>
      </x:c>
      <x:c r="AC16" s="12"/>
      <x:c r="AD16" s="12" t="str">
        <x:v>H2SO4_NaCl</x:v>
      </x:c>
      <x:c r="AE16" s="12"/>
      <x:c r="AF16" s="12"/>
      <x:c r="AG16" s="12"/>
      <x:c r="AH16" s="12" t="n">
        <x:v>25</x:v>
      </x:c>
      <x:c r="AI16" s="12" t="str">
        <x:v>SCE</x:v>
      </x:c>
      <x:c r="AJ16" s="12" t="n">
        <x:v>0.5</x:v>
      </x:c>
      <x:c r="AK16" s="16"/>
      <x:c r="AL16" s="16" t="n">
        <x:v>0.00025</x:v>
      </x:c>
      <x:c r="AM16" s="12" t="str">
        <x:v>NEW_Ma19FSS_FSS2</x:v>
      </x:c>
      <x:c r="AN16" s="12" t="str">
        <x:v>10.20964/2019.03.31</x:v>
      </x:c>
      <x:c r="AO16" s="12" t="str">
        <x:v>https://www.electrochemsci.org/papers/vol14/140302277.pdf</x:v>
      </x:c>
      <x:c r="AP16" s="12" t="str">
        <x:v>Table1; Table2 last icorr column, PDF p4</x:v>
      </x:c>
      <x:c r="AQ16" s="12" t="str">
        <x:v>legacy_curated_not_reaudited_in_this_batch</x:v>
      </x:c>
      <x:c r="AR16" s="12" t="str">
        <x:v>reported_numeric</x:v>
      </x:c>
      <x:c r="AS16" s="12" t="n">
        <x:v>250</x:v>
      </x:c>
      <x:c r="AT16" s="12" t="str">
        <x:v>uA/cm2</x:v>
      </x:c>
      <x:c r="AU16" s="12"/>
      <x:c r="AV16" s="12"/>
      <x:c r="AW16" s="12" t="n">
        <x:v>0.048</x:v>
      </x:c>
      <x:c r="AX16" s="12"/>
      <x:c r="AY16" s="12"/>
      <x:c r="AZ16" s="12"/>
      <x:c r="BA16" s="12" t="n">
        <x:v>18</x:v>
      </x:c>
      <x:c r="BB16" s="17" t="b">
        <x:v>0</x:v>
      </x:c>
      <x:c r="BC16" s="17" t="b">
        <x:v>0</x:v>
      </x:c>
      <x:c r="BD16" s="12" t="str">
        <x:v>Ni; Cu; T.N.(Total Nitrogen); Nb; V; Ti; Al; Sb; La; Pr; Y; La+Ce_합산; Fe; PREN; 냉각방식; 전해질 농도(wt%); 침지시간(min); Ecorr(V)</x:v>
      </x:c>
      <x:c r="BE16" s="12" t="str">
        <x:v>W 동시 첨가; Ecorr 부호/단위 모호하므로 Ecorr 미사용; reported_sample</x:v>
      </x:c>
    </x:row>
    <x:row r="17" ht="40" customHeight="1">
      <x:c r="A17" s="12" t="n">
        <x:v>7</x:v>
      </x:c>
      <x:c r="B17" s="13" t="str">
        <x:v>444형 페라이트계 스테인리스강(Ce+W)</x:v>
      </x:c>
      <x:c r="C17" s="13" t="str">
        <x:v>FSS3</x:v>
      </x:c>
      <x:c r="D17" s="14" t="n">
        <x:v>0.007</x:v>
      </x:c>
      <x:c r="E17" s="14" t="n">
        <x:v>0.5</x:v>
      </x:c>
      <x:c r="F17" s="14" t="n">
        <x:v>0.32</x:v>
      </x:c>
      <x:c r="G17" s="14" t="n">
        <x:v>0.01</x:v>
      </x:c>
      <x:c r="H17" s="14" t="n">
        <x:v>0.009</x:v>
      </x:c>
      <x:c r="I17" s="14" t="n">
        <x:v>19.1</x:v>
      </x:c>
      <x:c r="J17" s="14"/>
      <x:c r="K17" s="14" t="n">
        <x:v>1.95</x:v>
      </x:c>
      <x:c r="L17" s="14"/>
      <x:c r="M17" s="14"/>
      <x:c r="N17" s="14"/>
      <x:c r="O17" s="14"/>
      <x:c r="P17" s="14"/>
      <x:c r="Q17" s="14"/>
      <x:c r="R17" s="14"/>
      <x:c r="S17" s="14" t="n">
        <x:v>0.056</x:v>
      </x:c>
      <x:c r="T17" s="14"/>
      <x:c r="U17" s="14"/>
      <x:c r="V17" s="14" t="n">
        <x:v>0.58</x:v>
      </x:c>
      <x:c r="W17" s="14"/>
      <x:c r="X17" s="14"/>
      <x:c r="Y17" s="12"/>
      <x:c r="Z17" s="12"/>
      <x:c r="AA17" s="15" t="n">
        <x:v>1000</x:v>
      </x:c>
      <x:c r="AB17" s="15" t="n">
        <x:v>1</x:v>
      </x:c>
      <x:c r="AC17" s="12"/>
      <x:c r="AD17" s="12" t="str">
        <x:v>H2SO4_NaCl</x:v>
      </x:c>
      <x:c r="AE17" s="12"/>
      <x:c r="AF17" s="12"/>
      <x:c r="AG17" s="12"/>
      <x:c r="AH17" s="12" t="n">
        <x:v>25</x:v>
      </x:c>
      <x:c r="AI17" s="12" t="str">
        <x:v>SCE</x:v>
      </x:c>
      <x:c r="AJ17" s="12" t="n">
        <x:v>0.5</x:v>
      </x:c>
      <x:c r="AK17" s="16"/>
      <x:c r="AL17" s="16" t="n">
        <x:v>0.000235</x:v>
      </x:c>
      <x:c r="AM17" s="12" t="str">
        <x:v>NEW_Ma19FSS_FSS3</x:v>
      </x:c>
      <x:c r="AN17" s="12" t="str">
        <x:v>10.20964/2019.03.31</x:v>
      </x:c>
      <x:c r="AO17" s="12" t="str">
        <x:v>https://www.electrochemsci.org/papers/vol14/140302277.pdf</x:v>
      </x:c>
      <x:c r="AP17" s="12" t="str">
        <x:v>Table1; Table2 last icorr column, PDF p4</x:v>
      </x:c>
      <x:c r="AQ17" s="12" t="str">
        <x:v>legacy_curated_not_reaudited_in_this_batch</x:v>
      </x:c>
      <x:c r="AR17" s="12" t="str">
        <x:v>reported_numeric</x:v>
      </x:c>
      <x:c r="AS17" s="12" t="n">
        <x:v>235</x:v>
      </x:c>
      <x:c r="AT17" s="12" t="str">
        <x:v>uA/cm2</x:v>
      </x:c>
      <x:c r="AU17" s="12"/>
      <x:c r="AV17" s="12"/>
      <x:c r="AW17" s="12" t="n">
        <x:v>0.056</x:v>
      </x:c>
      <x:c r="AX17" s="12"/>
      <x:c r="AY17" s="12"/>
      <x:c r="AZ17" s="12"/>
      <x:c r="BA17" s="12" t="n">
        <x:v>18</x:v>
      </x:c>
      <x:c r="BB17" s="17" t="b">
        <x:v>0</x:v>
      </x:c>
      <x:c r="BC17" s="17" t="b">
        <x:v>0</x:v>
      </x:c>
      <x:c r="BD17" s="12" t="str">
        <x:v>Ni; Cu; T.N.(Total Nitrogen); Nb; V; Ti; Al; Sb; La; Pr; Y; La+Ce_합산; Fe; PREN; 냉각방식; 전해질 농도(wt%); 침지시간(min); Ecorr(V)</x:v>
      </x:c>
      <x:c r="BE17" s="12" t="str">
        <x:v>W 동시 첨가; Ecorr 부호/단위 모호하므로 Ecorr 미사용; reported_sample</x:v>
      </x:c>
    </x:row>
    <x:row r="18" ht="40" customHeight="1">
      <x:c r="A18" s="12" t="n">
        <x:v>7</x:v>
      </x:c>
      <x:c r="B18" s="13" t="str">
        <x:v>444형 페라이트계 스테인리스강(Ce+W)</x:v>
      </x:c>
      <x:c r="C18" s="13" t="str">
        <x:v>FSS4</x:v>
      </x:c>
      <x:c r="D18" s="14" t="n">
        <x:v>0.01</x:v>
      </x:c>
      <x:c r="E18" s="14" t="n">
        <x:v>0.53</x:v>
      </x:c>
      <x:c r="F18" s="14" t="n">
        <x:v>0.35</x:v>
      </x:c>
      <x:c r="G18" s="14" t="n">
        <x:v>0.008</x:v>
      </x:c>
      <x:c r="H18" s="14" t="n">
        <x:v>0.01</x:v>
      </x:c>
      <x:c r="I18" s="14" t="n">
        <x:v>19.9</x:v>
      </x:c>
      <x:c r="J18" s="14"/>
      <x:c r="K18" s="14" t="n">
        <x:v>2.03</x:v>
      </x:c>
      <x:c r="L18" s="14"/>
      <x:c r="M18" s="14"/>
      <x:c r="N18" s="14"/>
      <x:c r="O18" s="14"/>
      <x:c r="P18" s="14"/>
      <x:c r="Q18" s="14"/>
      <x:c r="R18" s="14"/>
      <x:c r="S18" s="14" t="n">
        <x:v>0.053</x:v>
      </x:c>
      <x:c r="T18" s="14"/>
      <x:c r="U18" s="14"/>
      <x:c r="V18" s="14" t="n">
        <x:v>1.12</x:v>
      </x:c>
      <x:c r="W18" s="14"/>
      <x:c r="X18" s="14"/>
      <x:c r="Y18" s="12"/>
      <x:c r="Z18" s="12"/>
      <x:c r="AA18" s="15" t="n">
        <x:v>1000</x:v>
      </x:c>
      <x:c r="AB18" s="15" t="n">
        <x:v>1</x:v>
      </x:c>
      <x:c r="AC18" s="12"/>
      <x:c r="AD18" s="12" t="str">
        <x:v>H2SO4_NaCl</x:v>
      </x:c>
      <x:c r="AE18" s="12"/>
      <x:c r="AF18" s="12"/>
      <x:c r="AG18" s="12"/>
      <x:c r="AH18" s="12" t="n">
        <x:v>25</x:v>
      </x:c>
      <x:c r="AI18" s="12" t="str">
        <x:v>SCE</x:v>
      </x:c>
      <x:c r="AJ18" s="12" t="n">
        <x:v>0.5</x:v>
      </x:c>
      <x:c r="AK18" s="16"/>
      <x:c r="AL18" s="16" t="n">
        <x:v>0.000172</x:v>
      </x:c>
      <x:c r="AM18" s="12" t="str">
        <x:v>NEW_Ma19FSS_FSS4</x:v>
      </x:c>
      <x:c r="AN18" s="12" t="str">
        <x:v>10.20964/2019.03.31</x:v>
      </x:c>
      <x:c r="AO18" s="12" t="str">
        <x:v>https://www.electrochemsci.org/papers/vol14/140302277.pdf</x:v>
      </x:c>
      <x:c r="AP18" s="12" t="str">
        <x:v>Table1; Table2 last icorr column, PDF p4</x:v>
      </x:c>
      <x:c r="AQ18" s="12" t="str">
        <x:v>legacy_curated_not_reaudited_in_this_batch</x:v>
      </x:c>
      <x:c r="AR18" s="12" t="str">
        <x:v>reported_numeric</x:v>
      </x:c>
      <x:c r="AS18" s="12" t="n">
        <x:v>172</x:v>
      </x:c>
      <x:c r="AT18" s="12" t="str">
        <x:v>uA/cm2</x:v>
      </x:c>
      <x:c r="AU18" s="12"/>
      <x:c r="AV18" s="12"/>
      <x:c r="AW18" s="12" t="n">
        <x:v>0.053</x:v>
      </x:c>
      <x:c r="AX18" s="12"/>
      <x:c r="AY18" s="12"/>
      <x:c r="AZ18" s="12"/>
      <x:c r="BA18" s="12" t="n">
        <x:v>18</x:v>
      </x:c>
      <x:c r="BB18" s="17" t="b">
        <x:v>0</x:v>
      </x:c>
      <x:c r="BC18" s="17" t="b">
        <x:v>0</x:v>
      </x:c>
      <x:c r="BD18" s="12" t="str">
        <x:v>Ni; Cu; T.N.(Total Nitrogen); Nb; V; Ti; Al; Sb; La; Pr; Y; La+Ce_합산; Fe; PREN; 냉각방식; 전해질 농도(wt%); 침지시간(min); Ecorr(V)</x:v>
      </x:c>
      <x:c r="BE18" s="12" t="str">
        <x:v>W 동시 첨가; Ecorr 부호/단위 모호하므로 Ecorr 미사용; reported_sample</x:v>
      </x:c>
    </x:row>
    <x:row r="19" ht="40" customHeight="1">
      <x:c r="A19" s="12" t="n">
        <x:v>37</x:v>
      </x:c>
      <x:c r="B19" s="13" t="str">
        <x:v>Q370qENH 고강도 내후성 교량강</x:v>
      </x:c>
      <x:c r="C19" s="13" t="str">
        <x:v>1</x:v>
      </x:c>
      <x:c r="D19" s="14" t="n">
        <x:v>0.08</x:v>
      </x:c>
      <x:c r="E19" s="14" t="n">
        <x:v>0.24</x:v>
      </x:c>
      <x:c r="F19" s="14" t="n">
        <x:v>1.2</x:v>
      </x:c>
      <x:c r="G19" s="14"/>
      <x:c r="H19" s="14"/>
      <x:c r="I19" s="14" t="n">
        <x:v>0.536</x:v>
      </x:c>
      <x:c r="J19" s="14" t="n">
        <x:v>0.378</x:v>
      </x:c>
      <x:c r="K19" s="14"/>
      <x:c r="L19" s="14" t="n">
        <x:v>0.405</x:v>
      </x:c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2"/>
      <x:c r="Z19" s="12"/>
      <x:c r="AA19" s="15"/>
      <x:c r="AB19" s="15"/>
      <x:c r="AC19" s="12"/>
      <x:c r="AD19" s="12" t="str">
        <x:v>NaCl</x:v>
      </x:c>
      <x:c r="AE19" s="12" t="n">
        <x:v>3.5</x:v>
      </x:c>
      <x:c r="AF19" s="12"/>
      <x:c r="AG19" s="12"/>
      <x:c r="AH19" s="12"/>
      <x:c r="AI19" s="12" t="str">
        <x:v>SCE</x:v>
      </x:c>
      <x:c r="AJ19" s="12"/>
      <x:c r="AK19" s="16" t="n">
        <x:v>-0.599</x:v>
      </x:c>
      <x:c r="AL19" s="16" t="n">
        <x:v>0.000477</x:v>
      </x:c>
      <x:c r="AM19" s="12" t="str">
        <x:v>NEW_Bridge25_1</x:v>
      </x:c>
      <x:c r="AN19" s="12" t="str">
        <x:v>10.3390/met15010085</x:v>
      </x:c>
      <x:c r="AO19" s="12" t="str">
        <x:v>https://www.mdpi.com/2075-4701/15/1/85</x:v>
      </x:c>
      <x:c r="AP19" s="12" t="str">
        <x:v>Table1 and Table7; section3.4.1</x:v>
      </x:c>
      <x:c r="AQ19" s="12" t="str">
        <x:v>legacy_curated_not_reaudited_in_this_batch</x:v>
      </x:c>
      <x:c r="AR19" s="12" t="str">
        <x:v>reported_numeric</x:v>
      </x:c>
      <x:c r="AS19" s="12" t="n">
        <x:v>477</x:v>
      </x:c>
      <x:c r="AT19" s="12" t="str">
        <x:v>uA/cm2</x:v>
      </x:c>
      <x:c r="AU19" s="12"/>
      <x:c r="AV19" s="12"/>
      <x:c r="AW19" s="12" t="n">
        <x:v>0</x:v>
      </x:c>
      <x:c r="AX19" s="12"/>
      <x:c r="AY19" s="12"/>
      <x:c r="AZ19" s="12"/>
      <x:c r="BA19" s="12" t="n">
        <x:v>23</x:v>
      </x:c>
      <x:c r="BB19" s="17" t="b">
        <x:v>0</x:v>
      </x:c>
      <x:c r="BC19" s="17" t="b">
        <x:v>0</x:v>
      </x:c>
      <x:c r="BD19" s="12" t="str">
        <x:v>P; S; Mo; T.N.(Total Nitrogen); Nb; V; Ti; Al; Sb; Ce; La; Pr; W; Y; La+Ce_합산; Fe; PREN; 열처리 온도(°C); Time(min); 냉각방식; 침지시간(min); 온도(°C); 주사속도(mV/s)</x:v>
      </x:c>
      <x:c r="BE19" s="12" t="str">
        <x:v>시험온도 수치 미기재: 염수분무25°C를 PDP 온도로 대체하지 않음; 3.5%NaCl 맥락 연결; reported_sample</x:v>
      </x:c>
    </x:row>
    <x:row r="20" ht="40" customHeight="1">
      <x:c r="A20" s="12" t="n">
        <x:v>37</x:v>
      </x:c>
      <x:c r="B20" s="13" t="str">
        <x:v>Q370qENH 고강도 내후성 교량강</x:v>
      </x:c>
      <x:c r="C20" s="13" t="str">
        <x:v>2</x:v>
      </x:c>
      <x:c r="D20" s="14" t="n">
        <x:v>0.08</x:v>
      </x:c>
      <x:c r="E20" s="14" t="n">
        <x:v>0.24</x:v>
      </x:c>
      <x:c r="F20" s="14" t="n">
        <x:v>1.21</x:v>
      </x:c>
      <x:c r="G20" s="14"/>
      <x:c r="H20" s="14"/>
      <x:c r="I20" s="14" t="n">
        <x:v>0.584</x:v>
      </x:c>
      <x:c r="J20" s="14" t="n">
        <x:v>0.343</x:v>
      </x:c>
      <x:c r="K20" s="14"/>
      <x:c r="L20" s="14" t="n">
        <x:v>0.456</x:v>
      </x:c>
      <x:c r="M20" s="14"/>
      <x:c r="N20" s="14"/>
      <x:c r="O20" s="14"/>
      <x:c r="P20" s="14"/>
      <x:c r="Q20" s="14"/>
      <x:c r="R20" s="14"/>
      <x:c r="S20" s="14" t="n">
        <x:v>0.0006</x:v>
      </x:c>
      <x:c r="T20" s="14"/>
      <x:c r="U20" s="14"/>
      <x:c r="V20" s="14"/>
      <x:c r="W20" s="14"/>
      <x:c r="X20" s="14"/>
      <x:c r="Y20" s="12"/>
      <x:c r="Z20" s="12"/>
      <x:c r="AA20" s="15"/>
      <x:c r="AB20" s="15"/>
      <x:c r="AC20" s="12"/>
      <x:c r="AD20" s="12" t="str">
        <x:v>NaCl</x:v>
      </x:c>
      <x:c r="AE20" s="12" t="n">
        <x:v>3.5</x:v>
      </x:c>
      <x:c r="AF20" s="12"/>
      <x:c r="AG20" s="12"/>
      <x:c r="AH20" s="12"/>
      <x:c r="AI20" s="12" t="str">
        <x:v>SCE</x:v>
      </x:c>
      <x:c r="AJ20" s="12"/>
      <x:c r="AK20" s="16" t="n">
        <x:v>-0.571</x:v>
      </x:c>
      <x:c r="AL20" s="16" t="n">
        <x:v>0.00033</x:v>
      </x:c>
      <x:c r="AM20" s="12" t="str">
        <x:v>NEW_Bridge25_2</x:v>
      </x:c>
      <x:c r="AN20" s="12" t="str">
        <x:v>10.3390/met15010085</x:v>
      </x:c>
      <x:c r="AO20" s="12" t="str">
        <x:v>https://www.mdpi.com/2075-4701/15/1/85</x:v>
      </x:c>
      <x:c r="AP20" s="12" t="str">
        <x:v>Table1 and Table7; section3.4.1</x:v>
      </x:c>
      <x:c r="AQ20" s="12" t="str">
        <x:v>legacy_curated_not_reaudited_in_this_batch</x:v>
      </x:c>
      <x:c r="AR20" s="12" t="str">
        <x:v>reported_numeric</x:v>
      </x:c>
      <x:c r="AS20" s="12" t="n">
        <x:v>330</x:v>
      </x:c>
      <x:c r="AT20" s="12" t="str">
        <x:v>uA/cm2</x:v>
      </x:c>
      <x:c r="AU20" s="12"/>
      <x:c r="AV20" s="12"/>
      <x:c r="AW20" s="12" t="n">
        <x:v>0.0006</x:v>
      </x:c>
      <x:c r="AX20" s="12"/>
      <x:c r="AY20" s="12"/>
      <x:c r="AZ20" s="12"/>
      <x:c r="BA20" s="12" t="n">
        <x:v>22</x:v>
      </x:c>
      <x:c r="BB20" s="17" t="b">
        <x:v>0</x:v>
      </x:c>
      <x:c r="BC20" s="17" t="b">
        <x:v>0</x:v>
      </x:c>
      <x:c r="BD20" s="12" t="str">
        <x:v>P; S; Mo; T.N.(Total Nitrogen); Nb; V; Ti; Al; Sb; La; Pr; W; Y; La+Ce_합산; Fe; PREN; 열처리 온도(°C); Time(min); 냉각방식; 침지시간(min); 온도(°C); 주사속도(mV/s)</x:v>
      </x:c>
      <x:c r="BE20" s="12" t="str">
        <x:v>시험온도 수치 미기재: 염수분무25°C를 PDP 온도로 대체하지 않음; 3.5%NaCl 맥락 연결; reported_sample</x:v>
      </x:c>
    </x:row>
    <x:row r="21" ht="40" customHeight="1">
      <x:c r="A21" s="12" t="n">
        <x:v>37</x:v>
      </x:c>
      <x:c r="B21" s="13" t="str">
        <x:v>Q370qENH 고강도 내후성 교량강</x:v>
      </x:c>
      <x:c r="C21" s="13" t="str">
        <x:v>3</x:v>
      </x:c>
      <x:c r="D21" s="14" t="n">
        <x:v>0.07</x:v>
      </x:c>
      <x:c r="E21" s="14" t="n">
        <x:v>0.25</x:v>
      </x:c>
      <x:c r="F21" s="14" t="n">
        <x:v>1.19</x:v>
      </x:c>
      <x:c r="G21" s="14"/>
      <x:c r="H21" s="14"/>
      <x:c r="I21" s="14" t="n">
        <x:v>0.548</x:v>
      </x:c>
      <x:c r="J21" s="14" t="n">
        <x:v>0.379</x:v>
      </x:c>
      <x:c r="K21" s="14"/>
      <x:c r="L21" s="14" t="n">
        <x:v>0.415</x:v>
      </x:c>
      <x:c r="M21" s="14"/>
      <x:c r="N21" s="14"/>
      <x:c r="O21" s="14"/>
      <x:c r="P21" s="14"/>
      <x:c r="Q21" s="14"/>
      <x:c r="R21" s="14"/>
      <x:c r="S21" s="14" t="n">
        <x:v>0.001</x:v>
      </x:c>
      <x:c r="T21" s="14"/>
      <x:c r="U21" s="14"/>
      <x:c r="V21" s="14"/>
      <x:c r="W21" s="14"/>
      <x:c r="X21" s="14"/>
      <x:c r="Y21" s="12"/>
      <x:c r="Z21" s="12"/>
      <x:c r="AA21" s="15"/>
      <x:c r="AB21" s="15"/>
      <x:c r="AC21" s="12"/>
      <x:c r="AD21" s="12" t="str">
        <x:v>NaCl</x:v>
      </x:c>
      <x:c r="AE21" s="12" t="n">
        <x:v>3.5</x:v>
      </x:c>
      <x:c r="AF21" s="12"/>
      <x:c r="AG21" s="12"/>
      <x:c r="AH21" s="12"/>
      <x:c r="AI21" s="12" t="str">
        <x:v>SCE</x:v>
      </x:c>
      <x:c r="AJ21" s="12"/>
      <x:c r="AK21" s="16" t="n">
        <x:v>-0.485</x:v>
      </x:c>
      <x:c r="AL21" s="16" t="n">
        <x:v>0.000319</x:v>
      </x:c>
      <x:c r="AM21" s="12" t="str">
        <x:v>NEW_Bridge25_3</x:v>
      </x:c>
      <x:c r="AN21" s="12" t="str">
        <x:v>10.3390/met15010085</x:v>
      </x:c>
      <x:c r="AO21" s="12" t="str">
        <x:v>https://www.mdpi.com/2075-4701/15/1/85</x:v>
      </x:c>
      <x:c r="AP21" s="12" t="str">
        <x:v>Table1 and Table7; section3.4.1</x:v>
      </x:c>
      <x:c r="AQ21" s="12" t="str">
        <x:v>legacy_curated_not_reaudited_in_this_batch</x:v>
      </x:c>
      <x:c r="AR21" s="12" t="str">
        <x:v>reported_numeric</x:v>
      </x:c>
      <x:c r="AS21" s="12" t="n">
        <x:v>319</x:v>
      </x:c>
      <x:c r="AT21" s="12" t="str">
        <x:v>uA/cm2</x:v>
      </x:c>
      <x:c r="AU21" s="12"/>
      <x:c r="AV21" s="12"/>
      <x:c r="AW21" s="12" t="n">
        <x:v>0.001</x:v>
      </x:c>
      <x:c r="AX21" s="12"/>
      <x:c r="AY21" s="12"/>
      <x:c r="AZ21" s="12"/>
      <x:c r="BA21" s="12" t="n">
        <x:v>22</x:v>
      </x:c>
      <x:c r="BB21" s="17" t="b">
        <x:v>0</x:v>
      </x:c>
      <x:c r="BC21" s="17" t="b">
        <x:v>0</x:v>
      </x:c>
      <x:c r="BD21" s="12" t="str">
        <x:v>P; S; Mo; T.N.(Total Nitrogen); Nb; V; Ti; Al; Sb; La; Pr; W; Y; La+Ce_합산; Fe; PREN; 열처리 온도(°C); Time(min); 냉각방식; 침지시간(min); 온도(°C); 주사속도(mV/s)</x:v>
      </x:c>
      <x:c r="BE21" s="12" t="str">
        <x:v>시험온도 수치 미기재: 염수분무25°C를 PDP 온도로 대체하지 않음; 3.5%NaCl 맥락 연결; reported_sample</x:v>
      </x:c>
    </x:row>
    <x:row r="22" ht="40" customHeight="1">
      <x:c r="A22" s="12" t="n">
        <x:v>12</x:v>
      </x:c>
      <x:c r="B22" s="13" t="str">
        <x:v>초저탄소 내후성강(Q235B/SPA-H형)</x:v>
      </x:c>
      <x:c r="C22" s="13" t="str">
        <x:v>UCS-Q235BRE(C)</x:v>
      </x:c>
      <x:c r="D22" s="14" t="n">
        <x:v>0.023</x:v>
      </x:c>
      <x:c r="E22" s="14" t="n">
        <x:v>0.15</x:v>
      </x:c>
      <x:c r="F22" s="14" t="n">
        <x:v>0.4</x:v>
      </x:c>
      <x:c r="G22" s="14" t="n">
        <x:v>0.02</x:v>
      </x:c>
      <x:c r="H22" s="14" t="n">
        <x:v>0.004</x:v>
      </x:c>
      <x:c r="I22" s="14" t="n">
        <x:v>0.032</x:v>
      </x:c>
      <x:c r="J22" s="14" t="n">
        <x:v>0.028</x:v>
      </x:c>
      <x:c r="K22" s="14"/>
      <x:c r="L22" s="14" t="n">
        <x:v>0.087</x:v>
      </x:c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 t="n">
        <x:v>0.004</x:v>
      </x:c>
      <x:c r="Y22" s="12"/>
      <x:c r="Z22" s="12"/>
      <x:c r="AA22" s="15"/>
      <x:c r="AB22" s="15"/>
      <x:c r="AC22" s="12"/>
      <x:c r="AD22" s="12" t="str">
        <x:v>NaCl</x:v>
      </x:c>
      <x:c r="AE22" s="12" t="n">
        <x:v>3.5</x:v>
      </x:c>
      <x:c r="AF22" s="12"/>
      <x:c r="AG22" s="12"/>
      <x:c r="AH22" s="12" t="n">
        <x:v>20</x:v>
      </x:c>
      <x:c r="AI22" s="12" t="str">
        <x:v>SCE</x:v>
      </x:c>
      <x:c r="AJ22" s="12" t="n">
        <x:v>1</x:v>
      </x:c>
      <x:c r="AK22" s="16"/>
      <x:c r="AL22" s="16" t="n">
        <x:v>0.00202</x:v>
      </x:c>
      <x:c r="AM22" s="12" t="str">
        <x:v>NEW_UCS23_UCS-Q235BRE(C)</x:v>
      </x:c>
      <x:c r="AN22" s="12" t="str">
        <x:v>10.3390/met13010066</x:v>
      </x:c>
      <x:c r="AO22" s="12" t="str">
        <x:v>https://www.mdpi.com/2075-4701/13/1/66</x:v>
      </x:c>
      <x:c r="AP22" s="12" t="str">
        <x:v>Tables1,5; electrochemical method20°C</x:v>
      </x:c>
      <x:c r="AQ22" s="12" t="str">
        <x:v>legacy_curated_not_reaudited_in_this_batch</x:v>
      </x:c>
      <x:c r="AR22" s="12" t="str">
        <x:v>reported_numeric</x:v>
      </x:c>
      <x:c r="AS22" s="12" t="n">
        <x:v>2.02</x:v>
      </x:c>
      <x:c r="AT22" s="12" t="str">
        <x:v>mA/cm2</x:v>
      </x:c>
      <x:c r="AU22" s="12"/>
      <x:c r="AV22" s="12"/>
      <x:c r="AW22" s="12" t="n">
        <x:v>0.004</x:v>
      </x:c>
      <x:c r="AX22" s="12"/>
      <x:c r="AY22" s="12"/>
      <x:c r="AZ22" s="12"/>
      <x:c r="BA22" s="12" t="n">
        <x:v>19</x:v>
      </x:c>
      <x:c r="BB22" s="17" t="b">
        <x:v>0</x:v>
      </x:c>
      <x:c r="BC22" s="17" t="b">
        <x:v>0</x:v>
      </x:c>
      <x:c r="BD22" s="12" t="str">
        <x:v>Mo; T.N.(Total Nitrogen); Nb; V; Ti; Al; Sb; Ce; La; Pr; W; Y; Fe; PREN; 열처리 온도(°C); Time(min); 냉각방식; 침지시간(min); Ecorr(V)</x:v>
      </x:c>
      <x:c r="BE22" s="12" t="str">
        <x:v>La .0015+Ce .0025; C/R 공정·비RE 조성 교란; 원문 mA 단위 명시; reported_sample</x:v>
      </x:c>
    </x:row>
    <x:row r="23" ht="40" customHeight="1">
      <x:c r="A23" s="12" t="n">
        <x:v>12</x:v>
      </x:c>
      <x:c r="B23" s="13" t="str">
        <x:v>초저탄소 내후성강(Q235B/SPA-H형)</x:v>
      </x:c>
      <x:c r="C23" s="13" t="str">
        <x:v>UCS-Q235BRE(R)</x:v>
      </x:c>
      <x:c r="D23" s="14" t="n">
        <x:v>0.023</x:v>
      </x:c>
      <x:c r="E23" s="14" t="n">
        <x:v>0.15</x:v>
      </x:c>
      <x:c r="F23" s="14" t="n">
        <x:v>0.4</x:v>
      </x:c>
      <x:c r="G23" s="14" t="n">
        <x:v>0.02</x:v>
      </x:c>
      <x:c r="H23" s="14" t="n">
        <x:v>0.004</x:v>
      </x:c>
      <x:c r="I23" s="14" t="n">
        <x:v>0.032</x:v>
      </x:c>
      <x:c r="J23" s="14" t="n">
        <x:v>0.028</x:v>
      </x:c>
      <x:c r="K23" s="14"/>
      <x:c r="L23" s="14" t="n">
        <x:v>0.087</x:v>
      </x:c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 t="n">
        <x:v>0.004</x:v>
      </x:c>
      <x:c r="Y23" s="12"/>
      <x:c r="Z23" s="12"/>
      <x:c r="AA23" s="15"/>
      <x:c r="AB23" s="15"/>
      <x:c r="AC23" s="12"/>
      <x:c r="AD23" s="12" t="str">
        <x:v>NaCl</x:v>
      </x:c>
      <x:c r="AE23" s="12" t="n">
        <x:v>3.5</x:v>
      </x:c>
      <x:c r="AF23" s="12"/>
      <x:c r="AG23" s="12"/>
      <x:c r="AH23" s="12" t="n">
        <x:v>20</x:v>
      </x:c>
      <x:c r="AI23" s="12" t="str">
        <x:v>SCE</x:v>
      </x:c>
      <x:c r="AJ23" s="12" t="n">
        <x:v>1</x:v>
      </x:c>
      <x:c r="AK23" s="16"/>
      <x:c r="AL23" s="16" t="n">
        <x:v>0.00135</x:v>
      </x:c>
      <x:c r="AM23" s="12" t="str">
        <x:v>NEW_UCS23_UCS-Q235BRE(R)</x:v>
      </x:c>
      <x:c r="AN23" s="12" t="str">
        <x:v>10.3390/met13010066</x:v>
      </x:c>
      <x:c r="AO23" s="12" t="str">
        <x:v>https://www.mdpi.com/2075-4701/13/1/66</x:v>
      </x:c>
      <x:c r="AP23" s="12" t="str">
        <x:v>Tables1,5; electrochemical method20°C</x:v>
      </x:c>
      <x:c r="AQ23" s="12" t="str">
        <x:v>legacy_curated_not_reaudited_in_this_batch</x:v>
      </x:c>
      <x:c r="AR23" s="12" t="str">
        <x:v>reported_numeric</x:v>
      </x:c>
      <x:c r="AS23" s="12" t="n">
        <x:v>1.35</x:v>
      </x:c>
      <x:c r="AT23" s="12" t="str">
        <x:v>mA/cm2</x:v>
      </x:c>
      <x:c r="AU23" s="12"/>
      <x:c r="AV23" s="12"/>
      <x:c r="AW23" s="12" t="n">
        <x:v>0.004</x:v>
      </x:c>
      <x:c r="AX23" s="12"/>
      <x:c r="AY23" s="12"/>
      <x:c r="AZ23" s="12"/>
      <x:c r="BA23" s="12" t="n">
        <x:v>19</x:v>
      </x:c>
      <x:c r="BB23" s="17" t="b">
        <x:v>0</x:v>
      </x:c>
      <x:c r="BC23" s="17" t="b">
        <x:v>0</x:v>
      </x:c>
      <x:c r="BD23" s="12" t="str">
        <x:v>Mo; T.N.(Total Nitrogen); Nb; V; Ti; Al; Sb; Ce; La; Pr; W; Y; Fe; PREN; 열처리 온도(°C); Time(min); 냉각방식; 침지시간(min); Ecorr(V)</x:v>
      </x:c>
      <x:c r="BE23" s="12" t="str">
        <x:v>La .0015+Ce .0025; C/R 공정·비RE 조성 교란; 원문 mA 단위 명시; reported_sample</x:v>
      </x:c>
    </x:row>
    <x:row r="24" ht="40" customHeight="1">
      <x:c r="A24" s="12" t="n">
        <x:v>12</x:v>
      </x:c>
      <x:c r="B24" s="13" t="str">
        <x:v>초저탄소 내후성강(Q235B/SPA-H형)</x:v>
      </x:c>
      <x:c r="C24" s="13" t="str">
        <x:v>UCS-Q235B(R)</x:v>
      </x:c>
      <x:c r="D24" s="14" t="n">
        <x:v>0.023</x:v>
      </x:c>
      <x:c r="E24" s="14" t="n">
        <x:v>0.17</x:v>
      </x:c>
      <x:c r="F24" s="14" t="n">
        <x:v>0.58</x:v>
      </x:c>
      <x:c r="G24" s="14" t="n">
        <x:v>0.015</x:v>
      </x:c>
      <x:c r="H24" s="14" t="n">
        <x:v>0.004</x:v>
      </x:c>
      <x:c r="I24" s="14" t="n">
        <x:v>0.023</x:v>
      </x:c>
      <x:c r="J24" s="14" t="n">
        <x:v>0.031</x:v>
      </x:c>
      <x:c r="K24" s="14"/>
      <x:c r="L24" s="14" t="n">
        <x:v>0.076</x:v>
      </x:c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2"/>
      <x:c r="Z24" s="12"/>
      <x:c r="AA24" s="15"/>
      <x:c r="AB24" s="15"/>
      <x:c r="AC24" s="12"/>
      <x:c r="AD24" s="12" t="str">
        <x:v>NaCl</x:v>
      </x:c>
      <x:c r="AE24" s="12" t="n">
        <x:v>3.5</x:v>
      </x:c>
      <x:c r="AF24" s="12"/>
      <x:c r="AG24" s="12"/>
      <x:c r="AH24" s="12" t="n">
        <x:v>20</x:v>
      </x:c>
      <x:c r="AI24" s="12" t="str">
        <x:v>SCE</x:v>
      </x:c>
      <x:c r="AJ24" s="12" t="n">
        <x:v>1</x:v>
      </x:c>
      <x:c r="AK24" s="16"/>
      <x:c r="AL24" s="16" t="n">
        <x:v>0.00384</x:v>
      </x:c>
      <x:c r="AM24" s="12" t="str">
        <x:v>NEW_UCS23_UCS-Q235B(R)</x:v>
      </x:c>
      <x:c r="AN24" s="12" t="str">
        <x:v>10.3390/met13010066</x:v>
      </x:c>
      <x:c r="AO24" s="12" t="str">
        <x:v>https://www.mdpi.com/2075-4701/13/1/66</x:v>
      </x:c>
      <x:c r="AP24" s="12" t="str">
        <x:v>Tables1,5; electrochemical method20°C</x:v>
      </x:c>
      <x:c r="AQ24" s="12" t="str">
        <x:v>legacy_curated_not_reaudited_in_this_batch</x:v>
      </x:c>
      <x:c r="AR24" s="12" t="str">
        <x:v>reported_numeric</x:v>
      </x:c>
      <x:c r="AS24" s="12" t="n">
        <x:v>3.84</x:v>
      </x:c>
      <x:c r="AT24" s="12" t="str">
        <x:v>mA/cm2</x:v>
      </x:c>
      <x:c r="AU24" s="12"/>
      <x:c r="AV24" s="12"/>
      <x:c r="AW24" s="12" t="n">
        <x:v>0</x:v>
      </x:c>
      <x:c r="AX24" s="12"/>
      <x:c r="AY24" s="12"/>
      <x:c r="AZ24" s="12"/>
      <x:c r="BA24" s="12" t="n">
        <x:v>20</x:v>
      </x:c>
      <x:c r="BB24" s="17" t="b">
        <x:v>0</x:v>
      </x:c>
      <x:c r="BC24" s="17" t="b">
        <x:v>0</x:v>
      </x:c>
      <x:c r="BD24" s="12" t="str">
        <x:v>Mo; T.N.(Total Nitrogen); Nb; V; Ti; Al; Sb; Ce; La; Pr; W; Y; La+Ce_합산; Fe; PREN; 열처리 온도(°C); Time(min); 냉각방식; 침지시간(min); Ecorr(V)</x:v>
      </x:c>
      <x:c r="BE24" s="12" t="str">
        <x:v>La .0015+Ce .0025; C/R 공정·비RE 조성 교란; 원문 mA 단위 명시; reported_sample</x:v>
      </x:c>
    </x:row>
    <x:row r="25" ht="40" customHeight="1">
      <x:c r="A25" s="12" t="n">
        <x:v>12</x:v>
      </x:c>
      <x:c r="B25" s="13" t="str">
        <x:v>초저탄소 내후성강(Q235B/SPA-H형)</x:v>
      </x:c>
      <x:c r="C25" s="13" t="str">
        <x:v>UCS-SPA-H(R)</x:v>
      </x:c>
      <x:c r="D25" s="14" t="n">
        <x:v>0.02</x:v>
      </x:c>
      <x:c r="E25" s="14" t="n">
        <x:v>0.24</x:v>
      </x:c>
      <x:c r="F25" s="14" t="n">
        <x:v>0.76</x:v>
      </x:c>
      <x:c r="G25" s="14" t="n">
        <x:v>0.08</x:v>
      </x:c>
      <x:c r="H25" s="14" t="n">
        <x:v>0.005</x:v>
      </x:c>
      <x:c r="I25" s="14" t="n">
        <x:v>0.37</x:v>
      </x:c>
      <x:c r="J25" s="14" t="n">
        <x:v>0.042</x:v>
      </x:c>
      <x:c r="K25" s="14"/>
      <x:c r="L25" s="14" t="n">
        <x:v>0.28</x:v>
      </x:c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2"/>
      <x:c r="Z25" s="12"/>
      <x:c r="AA25" s="15"/>
      <x:c r="AB25" s="15"/>
      <x:c r="AC25" s="12"/>
      <x:c r="AD25" s="12" t="str">
        <x:v>NaCl</x:v>
      </x:c>
      <x:c r="AE25" s="12" t="n">
        <x:v>3.5</x:v>
      </x:c>
      <x:c r="AF25" s="12"/>
      <x:c r="AG25" s="12"/>
      <x:c r="AH25" s="12" t="n">
        <x:v>20</x:v>
      </x:c>
      <x:c r="AI25" s="12" t="str">
        <x:v>SCE</x:v>
      </x:c>
      <x:c r="AJ25" s="12" t="n">
        <x:v>1</x:v>
      </x:c>
      <x:c r="AK25" s="16"/>
      <x:c r="AL25" s="16" t="n">
        <x:v>0.00441</x:v>
      </x:c>
      <x:c r="AM25" s="12" t="str">
        <x:v>NEW_UCS23_UCS-SPA-H(R)</x:v>
      </x:c>
      <x:c r="AN25" s="12" t="str">
        <x:v>10.3390/met13010066</x:v>
      </x:c>
      <x:c r="AO25" s="12" t="str">
        <x:v>https://www.mdpi.com/2075-4701/13/1/66</x:v>
      </x:c>
      <x:c r="AP25" s="12" t="str">
        <x:v>Tables1,5; electrochemical method20°C</x:v>
      </x:c>
      <x:c r="AQ25" s="12" t="str">
        <x:v>legacy_curated_not_reaudited_in_this_batch</x:v>
      </x:c>
      <x:c r="AR25" s="12" t="str">
        <x:v>reported_numeric</x:v>
      </x:c>
      <x:c r="AS25" s="12" t="n">
        <x:v>4.41</x:v>
      </x:c>
      <x:c r="AT25" s="12" t="str">
        <x:v>mA/cm2</x:v>
      </x:c>
      <x:c r="AU25" s="12"/>
      <x:c r="AV25" s="12"/>
      <x:c r="AW25" s="12" t="n">
        <x:v>0</x:v>
      </x:c>
      <x:c r="AX25" s="12"/>
      <x:c r="AY25" s="12"/>
      <x:c r="AZ25" s="12"/>
      <x:c r="BA25" s="12" t="n">
        <x:v>20</x:v>
      </x:c>
      <x:c r="BB25" s="17" t="b">
        <x:v>0</x:v>
      </x:c>
      <x:c r="BC25" s="17" t="b">
        <x:v>0</x:v>
      </x:c>
      <x:c r="BD25" s="12" t="str">
        <x:v>Mo; T.N.(Total Nitrogen); Nb; V; Ti; Al; Sb; Ce; La; Pr; W; Y; La+Ce_합산; Fe; PREN; 열처리 온도(°C); Time(min); 냉각방식; 침지시간(min); Ecorr(V)</x:v>
      </x:c>
      <x:c r="BE25" s="12" t="str">
        <x:v>La .0015+Ce .0025; C/R 공정·비RE 조성 교란; 원문 mA 단위 명시; reported_sample</x:v>
      </x:c>
    </x:row>
    <x:row r="26" ht="40" customHeight="1">
      <x:c r="A26" s="12" t="n">
        <x:v>21</x:v>
      </x:c>
      <x:c r="B26" s="13" t="str">
        <x:v>Q355 탄소강</x:v>
      </x:c>
      <x:c r="C26" s="13" t="str">
        <x:v>0</x:v>
      </x:c>
      <x:c r="D26" s="14" t="n">
        <x:v>0.16</x:v>
      </x:c>
      <x:c r="E26" s="14" t="n">
        <x:v>0.29</x:v>
      </x:c>
      <x:c r="F26" s="14" t="n">
        <x:v>1.24</x:v>
      </x:c>
      <x:c r="G26" s="14" t="n">
        <x:v>0.012</x:v>
      </x:c>
      <x:c r="H26" s="14" t="n">
        <x:v>0.012</x:v>
      </x:c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 t="n">
        <x:v>0</x:v>
      </x:c>
      <x:c r="T26" s="14" t="n">
        <x:v>0</x:v>
      </x:c>
      <x:c r="U26" s="14"/>
      <x:c r="V26" s="14"/>
      <x:c r="W26" s="14"/>
      <x:c r="X26" s="14" t="n">
        <x:v>0</x:v>
      </x:c>
      <x:c r="Y26" s="12"/>
      <x:c r="Z26" s="12"/>
      <x:c r="AA26" s="15"/>
      <x:c r="AB26" s="15"/>
      <x:c r="AC26" s="12" t="str">
        <x:v>water_then_coiling_550C</x:v>
      </x:c>
      <x:c r="AD26" s="12" t="str">
        <x:v>NaHSO3</x:v>
      </x:c>
      <x:c r="AE26" s="12"/>
      <x:c r="AF26" s="12"/>
      <x:c r="AG26" s="12"/>
      <x:c r="AH26" s="12"/>
      <x:c r="AI26" s="12" t="str">
        <x:v>SCE</x:v>
      </x:c>
      <x:c r="AJ26" s="12" t="n">
        <x:v>0.5</x:v>
      </x:c>
      <x:c r="AK26" s="16"/>
      <x:c r="AL26" s="16" t="n">
        <x:v>0.000404</x:v>
      </x:c>
      <x:c r="AM26" s="12" t="str">
        <x:v>La24Q355_verified_0</x:v>
      </x:c>
      <x:c r="AN26" s="12" t="str">
        <x:v>10.3390/ma17184467</x:v>
      </x:c>
      <x:c r="AO26" s="12" t="str">
        <x:v>https://doi.org/10.3390/ma17184467</x:v>
      </x:c>
      <x:c r="AP26" s="12" t="str">
        <x:v>Table2 p12; Table1 p2; Sec2.1/2.4 and3.6</x:v>
      </x:c>
      <x:c r="AQ26" s="12" t="str">
        <x:v>legacy_curated_not_reaudited_in_this_batch</x:v>
      </x:c>
      <x:c r="AR26" s="12" t="str">
        <x:v>reported_numeric</x:v>
      </x:c>
      <x:c r="AS26" s="12" t="n">
        <x:v>0.000404</x:v>
      </x:c>
      <x:c r="AT26" s="12" t="str">
        <x:v>A/cm2</x:v>
      </x:c>
      <x:c r="AU26" s="12"/>
      <x:c r="AV26" s="12" t="str">
        <x:v>VIM50kg;cast;forge;1200C60min reheat;6rolling passes;finish860C;watercool;coil550C</x:v>
      </x:c>
      <x:c r="AW26" s="12" t="n">
        <x:v>0</x:v>
      </x:c>
      <x:c r="AX26" s="12"/>
      <x:c r="AY26" s="12"/>
      <x:c r="AZ26" s="12"/>
      <x:c r="BA26" s="12" t="n">
        <x:v>21</x:v>
      </x:c>
      <x:c r="BB26" s="17" t="b">
        <x:v>0</x:v>
      </x:c>
      <x:c r="BC26" s="17" t="b">
        <x:v>0</x:v>
      </x:c>
      <x:c r="BD26" s="12" t="str">
        <x:v>Cr; Ni; Mo; Cu; T.N.(Total Nitrogen); Nb; V; Ti; Al; Sb; Pr; W; Y; Fe; PREN; 열처리 온도(°C); Time(min); 전해질 농도(wt%); 침지시간(min); 온도(°C); Ecorr(V)</x:v>
      </x:c>
      <x:c r="BE26" s="12" t="str">
        <x:v>Exact Table2 target replaces old estimates; PDP surface/pre-exposure mapping ambiguous;72h belongs to separate cyclic test and not assigned toPDP; roomtemperature not25C; reheating1200C/coiling550C not finalHT; reported_steel_composition</x:v>
      </x:c>
    </x:row>
    <x:row r="27" ht="40" customHeight="1">
      <x:c r="A27" s="12" t="n">
        <x:v>21</x:v>
      </x:c>
      <x:c r="B27" s="13" t="str">
        <x:v>Q355 탄소강</x:v>
      </x:c>
      <x:c r="C27" s="13" t="str">
        <x:v>1</x:v>
      </x:c>
      <x:c r="D27" s="14" t="n">
        <x:v>0.16</x:v>
      </x:c>
      <x:c r="E27" s="14" t="n">
        <x:v>0.28</x:v>
      </x:c>
      <x:c r="F27" s="14" t="n">
        <x:v>1.36</x:v>
      </x:c>
      <x:c r="G27" s="14" t="n">
        <x:v>0.0068</x:v>
      </x:c>
      <x:c r="H27" s="14" t="n">
        <x:v>0.002</x:v>
      </x:c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 t="n">
        <x:v>0</x:v>
      </x:c>
      <x:c r="T27" s="14" t="n">
        <x:v>0.0067</x:v>
      </x:c>
      <x:c r="U27" s="14"/>
      <x:c r="V27" s="14"/>
      <x:c r="W27" s="14"/>
      <x:c r="X27" s="14" t="n">
        <x:v>0.0067</x:v>
      </x:c>
      <x:c r="Y27" s="12"/>
      <x:c r="Z27" s="12"/>
      <x:c r="AA27" s="15"/>
      <x:c r="AB27" s="15"/>
      <x:c r="AC27" s="12" t="str">
        <x:v>water_then_coiling_550C</x:v>
      </x:c>
      <x:c r="AD27" s="12" t="str">
        <x:v>NaHSO3</x:v>
      </x:c>
      <x:c r="AE27" s="12"/>
      <x:c r="AF27" s="12"/>
      <x:c r="AG27" s="12"/>
      <x:c r="AH27" s="12"/>
      <x:c r="AI27" s="12" t="str">
        <x:v>SCE</x:v>
      </x:c>
      <x:c r="AJ27" s="12" t="n">
        <x:v>0.5</x:v>
      </x:c>
      <x:c r="AK27" s="16"/>
      <x:c r="AL27" s="16" t="n">
        <x:v>0.0000252</x:v>
      </x:c>
      <x:c r="AM27" s="12" t="str">
        <x:v>La24Q355_verified_1</x:v>
      </x:c>
      <x:c r="AN27" s="12" t="str">
        <x:v>10.3390/ma17184467</x:v>
      </x:c>
      <x:c r="AO27" s="12" t="str">
        <x:v>https://doi.org/10.3390/ma17184467</x:v>
      </x:c>
      <x:c r="AP27" s="12" t="str">
        <x:v>Table2 p12; Table1 p2; Sec2.1/2.4 and3.6</x:v>
      </x:c>
      <x:c r="AQ27" s="12" t="str">
        <x:v>legacy_curated_not_reaudited_in_this_batch</x:v>
      </x:c>
      <x:c r="AR27" s="12" t="str">
        <x:v>reported_numeric</x:v>
      </x:c>
      <x:c r="AS27" s="12" t="n">
        <x:v>0.0000252</x:v>
      </x:c>
      <x:c r="AT27" s="12" t="str">
        <x:v>A/cm2</x:v>
      </x:c>
      <x:c r="AU27" s="12"/>
      <x:c r="AV27" s="12" t="str">
        <x:v>VIM50kg;cast;forge;1200C60min reheat;6rolling passes;finish860C;watercool;coil550C</x:v>
      </x:c>
      <x:c r="AW27" s="12" t="n">
        <x:v>0.0067</x:v>
      </x:c>
      <x:c r="AX27" s="12"/>
      <x:c r="AY27" s="12"/>
      <x:c r="AZ27" s="12"/>
      <x:c r="BA27" s="12" t="n">
        <x:v>21</x:v>
      </x:c>
      <x:c r="BB27" s="17" t="b">
        <x:v>0</x:v>
      </x:c>
      <x:c r="BC27" s="17" t="b">
        <x:v>0</x:v>
      </x:c>
      <x:c r="BD27" s="12" t="str">
        <x:v>Cr; Ni; Mo; Cu; T.N.(Total Nitrogen); Nb; V; Ti; Al; Sb; Pr; W; Y; Fe; PREN; 열처리 온도(°C); Time(min); 전해질 농도(wt%); 침지시간(min); 온도(°C); Ecorr(V)</x:v>
      </x:c>
      <x:c r="BE27" s="12" t="str">
        <x:v>Exact Table2 target replaces old estimates; PDP surface/pre-exposure mapping ambiguous;72h belongs to separate cyclic test and not assigned toPDP; roomtemperature not25C; reheating1200C/coiling550C not finalHT; reported_steel_composition</x:v>
      </x:c>
    </x:row>
    <x:row r="28" ht="40" customHeight="1">
      <x:c r="A28" s="12" t="n">
        <x:v>21</x:v>
      </x:c>
      <x:c r="B28" s="13" t="str">
        <x:v>Q355 탄소강</x:v>
      </x:c>
      <x:c r="C28" s="13" t="str">
        <x:v>2</x:v>
      </x:c>
      <x:c r="D28" s="14" t="n">
        <x:v>0.16</x:v>
      </x:c>
      <x:c r="E28" s="14" t="n">
        <x:v>0.28</x:v>
      </x:c>
      <x:c r="F28" s="14" t="n">
        <x:v>1.33</x:v>
      </x:c>
      <x:c r="G28" s="14" t="n">
        <x:v>0.007</x:v>
      </x:c>
      <x:c r="H28" s="14" t="n">
        <x:v>0.0081</x:v>
      </x:c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 t="n">
        <x:v>0</x:v>
      </x:c>
      <x:c r="T28" s="14" t="n">
        <x:v>0.011</x:v>
      </x:c>
      <x:c r="U28" s="14"/>
      <x:c r="V28" s="14"/>
      <x:c r="W28" s="14"/>
      <x:c r="X28" s="14" t="n">
        <x:v>0.011</x:v>
      </x:c>
      <x:c r="Y28" s="12"/>
      <x:c r="Z28" s="12"/>
      <x:c r="AA28" s="15"/>
      <x:c r="AB28" s="15"/>
      <x:c r="AC28" s="12" t="str">
        <x:v>water_then_coiling_550C</x:v>
      </x:c>
      <x:c r="AD28" s="12" t="str">
        <x:v>NaHSO3</x:v>
      </x:c>
      <x:c r="AE28" s="12"/>
      <x:c r="AF28" s="12"/>
      <x:c r="AG28" s="12"/>
      <x:c r="AH28" s="12"/>
      <x:c r="AI28" s="12" t="str">
        <x:v>SCE</x:v>
      </x:c>
      <x:c r="AJ28" s="12" t="n">
        <x:v>0.5</x:v>
      </x:c>
      <x:c r="AK28" s="16"/>
      <x:c r="AL28" s="16" t="n">
        <x:v>0.0000191</x:v>
      </x:c>
      <x:c r="AM28" s="12" t="str">
        <x:v>La24Q355_verified_2</x:v>
      </x:c>
      <x:c r="AN28" s="12" t="str">
        <x:v>10.3390/ma17184467</x:v>
      </x:c>
      <x:c r="AO28" s="12" t="str">
        <x:v>https://doi.org/10.3390/ma17184467</x:v>
      </x:c>
      <x:c r="AP28" s="12" t="str">
        <x:v>Table2 p12; Table1 p2; Sec2.1/2.4 and3.6</x:v>
      </x:c>
      <x:c r="AQ28" s="12" t="str">
        <x:v>legacy_curated_not_reaudited_in_this_batch</x:v>
      </x:c>
      <x:c r="AR28" s="12" t="str">
        <x:v>reported_numeric</x:v>
      </x:c>
      <x:c r="AS28" s="12" t="n">
        <x:v>0.0000191</x:v>
      </x:c>
      <x:c r="AT28" s="12" t="str">
        <x:v>A/cm2</x:v>
      </x:c>
      <x:c r="AU28" s="12"/>
      <x:c r="AV28" s="12" t="str">
        <x:v>VIM50kg;cast;forge;1200C60min reheat;6rolling passes;finish860C;watercool;coil550C</x:v>
      </x:c>
      <x:c r="AW28" s="12" t="n">
        <x:v>0.011</x:v>
      </x:c>
      <x:c r="AX28" s="12"/>
      <x:c r="AY28" s="12"/>
      <x:c r="AZ28" s="12"/>
      <x:c r="BA28" s="12" t="n">
        <x:v>21</x:v>
      </x:c>
      <x:c r="BB28" s="17" t="b">
        <x:v>0</x:v>
      </x:c>
      <x:c r="BC28" s="17" t="b">
        <x:v>0</x:v>
      </x:c>
      <x:c r="BD28" s="12" t="str">
        <x:v>Cr; Ni; Mo; Cu; T.N.(Total Nitrogen); Nb; V; Ti; Al; Sb; Pr; W; Y; Fe; PREN; 열처리 온도(°C); Time(min); 전해질 농도(wt%); 침지시간(min); 온도(°C); Ecorr(V)</x:v>
      </x:c>
      <x:c r="BE28" s="12" t="str">
        <x:v>Exact Table2 target replaces old estimates; PDP surface/pre-exposure mapping ambiguous;72h belongs to separate cyclic test and not assigned toPDP; roomtemperature not25C; reheating1200C/coiling550C not finalHT; reported_steel_composition</x:v>
      </x:c>
    </x:row>
    <x:row r="29" ht="40" customHeight="1">
      <x:c r="A29" s="12" t="n">
        <x:v>21</x:v>
      </x:c>
      <x:c r="B29" s="13" t="str">
        <x:v>Q355 탄소강</x:v>
      </x:c>
      <x:c r="C29" s="13" t="str">
        <x:v>3</x:v>
      </x:c>
      <x:c r="D29" s="14" t="n">
        <x:v>0.16</x:v>
      </x:c>
      <x:c r="E29" s="14" t="n">
        <x:v>0.28</x:v>
      </x:c>
      <x:c r="F29" s="14" t="n">
        <x:v>1.33</x:v>
      </x:c>
      <x:c r="G29" s="14" t="n">
        <x:v>0.0066</x:v>
      </x:c>
      <x:c r="H29" s="14" t="n">
        <x:v>0.0032</x:v>
      </x:c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 t="n">
        <x:v>0</x:v>
      </x:c>
      <x:c r="T29" s="14" t="n">
        <x:v>0.023</x:v>
      </x:c>
      <x:c r="U29" s="14"/>
      <x:c r="V29" s="14"/>
      <x:c r="W29" s="14"/>
      <x:c r="X29" s="14" t="n">
        <x:v>0.023</x:v>
      </x:c>
      <x:c r="Y29" s="12"/>
      <x:c r="Z29" s="12"/>
      <x:c r="AA29" s="15"/>
      <x:c r="AB29" s="15"/>
      <x:c r="AC29" s="12" t="str">
        <x:v>water_then_coiling_550C</x:v>
      </x:c>
      <x:c r="AD29" s="12" t="str">
        <x:v>NaHSO3</x:v>
      </x:c>
      <x:c r="AE29" s="12"/>
      <x:c r="AF29" s="12"/>
      <x:c r="AG29" s="12"/>
      <x:c r="AH29" s="12"/>
      <x:c r="AI29" s="12" t="str">
        <x:v>SCE</x:v>
      </x:c>
      <x:c r="AJ29" s="12" t="n">
        <x:v>0.5</x:v>
      </x:c>
      <x:c r="AK29" s="16"/>
      <x:c r="AL29" s="16" t="n">
        <x:v>0.0000115</x:v>
      </x:c>
      <x:c r="AM29" s="12" t="str">
        <x:v>La24Q355_verified_3</x:v>
      </x:c>
      <x:c r="AN29" s="12" t="str">
        <x:v>10.3390/ma17184467</x:v>
      </x:c>
      <x:c r="AO29" s="12" t="str">
        <x:v>https://doi.org/10.3390/ma17184467</x:v>
      </x:c>
      <x:c r="AP29" s="12" t="str">
        <x:v>Table2 p12; Table1 p2; Sec2.1/2.4 and3.6</x:v>
      </x:c>
      <x:c r="AQ29" s="12" t="str">
        <x:v>legacy_curated_not_reaudited_in_this_batch</x:v>
      </x:c>
      <x:c r="AR29" s="12" t="str">
        <x:v>reported_numeric</x:v>
      </x:c>
      <x:c r="AS29" s="12" t="n">
        <x:v>0.0000115</x:v>
      </x:c>
      <x:c r="AT29" s="12" t="str">
        <x:v>A/cm2</x:v>
      </x:c>
      <x:c r="AU29" s="12"/>
      <x:c r="AV29" s="12" t="str">
        <x:v>VIM50kg;cast;forge;1200C60min reheat;6rolling passes;finish860C;watercool;coil550C</x:v>
      </x:c>
      <x:c r="AW29" s="12" t="n">
        <x:v>0.023</x:v>
      </x:c>
      <x:c r="AX29" s="12"/>
      <x:c r="AY29" s="12"/>
      <x:c r="AZ29" s="12"/>
      <x:c r="BA29" s="12" t="n">
        <x:v>21</x:v>
      </x:c>
      <x:c r="BB29" s="17" t="b">
        <x:v>0</x:v>
      </x:c>
      <x:c r="BC29" s="17" t="b">
        <x:v>0</x:v>
      </x:c>
      <x:c r="BD29" s="12" t="str">
        <x:v>Cr; Ni; Mo; Cu; T.N.(Total Nitrogen); Nb; V; Ti; Al; Sb; Pr; W; Y; Fe; PREN; 열처리 온도(°C); Time(min); 전해질 농도(wt%); 침지시간(min); 온도(°C); Ecorr(V)</x:v>
      </x:c>
      <x:c r="BE29" s="12" t="str">
        <x:v>Exact Table2 target replaces old estimates; PDP surface/pre-exposure mapping ambiguous;72h belongs to separate cyclic test and not assigned toPDP; roomtemperature not25C; reheating1200C/coiling550C not finalHT; reported_steel_composition</x:v>
      </x:c>
    </x:row>
    <x:row r="30" ht="40" customHeight="1">
      <x:c r="A30" s="12" t="n">
        <x:v>21</x:v>
      </x:c>
      <x:c r="B30" s="13" t="str">
        <x:v>Q355 탄소강</x:v>
      </x:c>
      <x:c r="C30" s="13" t="str">
        <x:v>4</x:v>
      </x:c>
      <x:c r="D30" s="14" t="n">
        <x:v>0.16</x:v>
      </x:c>
      <x:c r="E30" s="14" t="n">
        <x:v>0.28</x:v>
      </x:c>
      <x:c r="F30" s="14" t="n">
        <x:v>1.34</x:v>
      </x:c>
      <x:c r="G30" s="14" t="n">
        <x:v>0.0069</x:v>
      </x:c>
      <x:c r="H30" s="14" t="n">
        <x:v>0.0076</x:v>
      </x:c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 t="n">
        <x:v>0</x:v>
      </x:c>
      <x:c r="T30" s="14" t="n">
        <x:v>0.031</x:v>
      </x:c>
      <x:c r="U30" s="14"/>
      <x:c r="V30" s="14"/>
      <x:c r="W30" s="14"/>
      <x:c r="X30" s="14" t="n">
        <x:v>0.031</x:v>
      </x:c>
      <x:c r="Y30" s="12"/>
      <x:c r="Z30" s="12"/>
      <x:c r="AA30" s="15"/>
      <x:c r="AB30" s="15"/>
      <x:c r="AC30" s="12" t="str">
        <x:v>water_then_coiling_550C</x:v>
      </x:c>
      <x:c r="AD30" s="12" t="str">
        <x:v>NaHSO3</x:v>
      </x:c>
      <x:c r="AE30" s="12"/>
      <x:c r="AF30" s="12"/>
      <x:c r="AG30" s="12"/>
      <x:c r="AH30" s="12"/>
      <x:c r="AI30" s="12" t="str">
        <x:v>SCE</x:v>
      </x:c>
      <x:c r="AJ30" s="12" t="n">
        <x:v>0.5</x:v>
      </x:c>
      <x:c r="AK30" s="16"/>
      <x:c r="AL30" s="16" t="n">
        <x:v>0.00000665</x:v>
      </x:c>
      <x:c r="AM30" s="12" t="str">
        <x:v>La24Q355_verified_4</x:v>
      </x:c>
      <x:c r="AN30" s="12" t="str">
        <x:v>10.3390/ma17184467</x:v>
      </x:c>
      <x:c r="AO30" s="12" t="str">
        <x:v>https://doi.org/10.3390/ma17184467</x:v>
      </x:c>
      <x:c r="AP30" s="12" t="str">
        <x:v>Table2 p12; Table1 p2; Sec2.1/2.4 and3.6</x:v>
      </x:c>
      <x:c r="AQ30" s="12" t="str">
        <x:v>legacy_curated_not_reaudited_in_this_batch</x:v>
      </x:c>
      <x:c r="AR30" s="12" t="str">
        <x:v>reported_numeric</x:v>
      </x:c>
      <x:c r="AS30" s="12" t="n">
        <x:v>0.00000665</x:v>
      </x:c>
      <x:c r="AT30" s="12" t="str">
        <x:v>A/cm2</x:v>
      </x:c>
      <x:c r="AU30" s="12"/>
      <x:c r="AV30" s="12" t="str">
        <x:v>VIM50kg;cast;forge;1200C60min reheat;6rolling passes;finish860C;watercool;coil550C</x:v>
      </x:c>
      <x:c r="AW30" s="12" t="n">
        <x:v>0.031</x:v>
      </x:c>
      <x:c r="AX30" s="12"/>
      <x:c r="AY30" s="12"/>
      <x:c r="AZ30" s="12"/>
      <x:c r="BA30" s="12" t="n">
        <x:v>21</x:v>
      </x:c>
      <x:c r="BB30" s="17" t="b">
        <x:v>0</x:v>
      </x:c>
      <x:c r="BC30" s="17" t="b">
        <x:v>0</x:v>
      </x:c>
      <x:c r="BD30" s="12" t="str">
        <x:v>Cr; Ni; Mo; Cu; T.N.(Total Nitrogen); Nb; V; Ti; Al; Sb; Pr; W; Y; Fe; PREN; 열처리 온도(°C); Time(min); 전해질 농도(wt%); 침지시간(min); 온도(°C); Ecorr(V)</x:v>
      </x:c>
      <x:c r="BE30" s="12" t="str">
        <x:v>Exact Table2 target replaces old estimates; PDP surface/pre-exposure mapping ambiguous;72h belongs to separate cyclic test and not assigned toPDP; roomtemperature not25C; reheating1200C/coiling550C not finalHT; reported_steel_composition</x:v>
      </x:c>
    </x:row>
    <x:row r="31" ht="40" customHeight="1">
      <x:c r="A31" s="12" t="n">
        <x:v>34</x:v>
      </x:c>
      <x:c r="B31" s="13" t="str">
        <x:v>75Cr1 고탄소 공구강(Ce 첨가)</x:v>
      </x:c>
      <x:c r="C31" s="13" t="str">
        <x:v>C1</x:v>
      </x:c>
      <x:c r="D31" s="14" t="n">
        <x:v>0.76</x:v>
      </x:c>
      <x:c r="E31" s="14" t="n">
        <x:v>0.29</x:v>
      </x:c>
      <x:c r="F31" s="14" t="n">
        <x:v>0.6938</x:v>
      </x:c>
      <x:c r="G31" s="14"/>
      <x:c r="H31" s="14"/>
      <x:c r="I31" s="14" t="n">
        <x:v>0.51</x:v>
      </x:c>
      <x:c r="J31" s="14"/>
      <x:c r="K31" s="14"/>
      <x:c r="L31" s="14"/>
      <x:c r="M31" s="14"/>
      <x:c r="N31" s="14"/>
      <x:c r="O31" s="14"/>
      <x:c r="P31" s="14"/>
      <x:c r="Q31" s="14" t="n">
        <x:v>0.013</x:v>
      </x:c>
      <x:c r="R31" s="14"/>
      <x:c r="S31" s="14" t="n">
        <x:v>0</x:v>
      </x:c>
      <x:c r="T31" s="14"/>
      <x:c r="U31" s="14"/>
      <x:c r="V31" s="14"/>
      <x:c r="W31" s="14"/>
      <x:c r="X31" s="14"/>
      <x:c r="Y31" s="12"/>
      <x:c r="Z31" s="12"/>
      <x:c r="AA31" s="15"/>
      <x:c r="AB31" s="15"/>
      <x:c r="AC31" s="12" t="str">
        <x:v>furnace</x:v>
      </x:c>
      <x:c r="AD31" s="12" t="str">
        <x:v>NaCl</x:v>
      </x:c>
      <x:c r="AE31" s="12" t="n">
        <x:v>3.5</x:v>
      </x:c>
      <x:c r="AF31" s="12"/>
      <x:c r="AG31" s="12"/>
      <x:c r="AH31" s="12"/>
      <x:c r="AI31" s="12" t="str">
        <x:v>SCE</x:v>
      </x:c>
      <x:c r="AJ31" s="12"/>
      <x:c r="AK31" s="16" t="n">
        <x:v>-1</x:v>
      </x:c>
      <x:c r="AL31" s="16" t="n">
        <x:v>0.0000853</x:v>
      </x:c>
      <x:c r="AM31" s="12" t="str">
        <x:v>NEW_75Cr1_24_C1</x:v>
      </x:c>
      <x:c r="AN31" s="12" t="str">
        <x:v>10.11900/0412.1961.2022.00359</x:v>
      </x:c>
      <x:c r="AO31" s="12" t="str">
        <x:v>https://www.ams.org.cn/EN/10.11900/0412.1961.2022.00359</x:v>
      </x:c>
      <x:c r="AP31" s="12" t="str">
        <x:v>Table 2, PDF p8 (printed p1236); Fig14; Sec2.4</x:v>
      </x:c>
      <x:c r="AQ31" s="12" t="str">
        <x:v>legacy_curated_not_reaudited_in_this_batch</x:v>
      </x:c>
      <x:c r="AR31" s="12" t="str">
        <x:v>reported_numeric</x:v>
      </x:c>
      <x:c r="AS31" s="12" t="n">
        <x:v>0.0000853</x:v>
      </x:c>
      <x:c r="AT31" s="12" t="str">
        <x:v>A/cm2</x:v>
      </x:c>
      <x:c r="AU31" s="12"/>
      <x:c r="AV31" s="12"/>
      <x:c r="AW31" s="12" t="n">
        <x:v>0</x:v>
      </x:c>
      <x:c r="AX31" s="12"/>
      <x:c r="AY31" s="12"/>
      <x:c r="AZ31" s="12"/>
      <x:c r="BA31" s="12" t="n">
        <x:v>22</x:v>
      </x:c>
      <x:c r="BB31" s="17" t="b">
        <x:v>0</x:v>
      </x:c>
      <x:c r="BC31" s="17" t="b">
        <x:v>0</x:v>
      </x:c>
      <x:c r="BD31" s="12" t="str">
        <x:v>P; S; Ni; Mo; Cu; T.N.(Total Nitrogen); Nb; V; Ti; Sb; La; Pr; W; Y; La+Ce_합산; Fe; PREN; 열처리 온도(°C); Time(min); 침지시간(min); 온도(°C); 주사속도(mV/s)</x:v>
      </x:c>
      <x:c r="BE31" s="12" t="str">
        <x:v>Base slab composition Sec1 PDF p2; residual Ce ICP-AES Sec1 p3. Non-RE chemistry shared from base slab, not individual remelt measurements. P unreported; S only graphical and changes with Ce: left missing. Temperature, scan rate and pre-exposure unreported. 1150C/30min is separate in-situ microscopy, not PDP heat treatment. C2/C4 have no tabulated icorr and are not invented.; documented_base_plus_measured_RE</x:v>
      </x:c>
    </x:row>
    <x:row r="32" ht="40" customHeight="1">
      <x:c r="A32" s="12" t="n">
        <x:v>34</x:v>
      </x:c>
      <x:c r="B32" s="13" t="str">
        <x:v>75Cr1 고탄소 공구강(Ce 첨가)</x:v>
      </x:c>
      <x:c r="C32" s="13" t="str">
        <x:v>C3</x:v>
      </x:c>
      <x:c r="D32" s="14" t="n">
        <x:v>0.76</x:v>
      </x:c>
      <x:c r="E32" s="14" t="n">
        <x:v>0.29</x:v>
      </x:c>
      <x:c r="F32" s="14" t="n">
        <x:v>0.6938</x:v>
      </x:c>
      <x:c r="G32" s="14"/>
      <x:c r="H32" s="14"/>
      <x:c r="I32" s="14" t="n">
        <x:v>0.51</x:v>
      </x:c>
      <x:c r="J32" s="14"/>
      <x:c r="K32" s="14"/>
      <x:c r="L32" s="14"/>
      <x:c r="M32" s="14"/>
      <x:c r="N32" s="14"/>
      <x:c r="O32" s="14"/>
      <x:c r="P32" s="14"/>
      <x:c r="Q32" s="14" t="n">
        <x:v>0.013</x:v>
      </x:c>
      <x:c r="R32" s="14"/>
      <x:c r="S32" s="14" t="n">
        <x:v>0.0195</x:v>
      </x:c>
      <x:c r="T32" s="14"/>
      <x:c r="U32" s="14"/>
      <x:c r="V32" s="14"/>
      <x:c r="W32" s="14"/>
      <x:c r="X32" s="14"/>
      <x:c r="Y32" s="12"/>
      <x:c r="Z32" s="12"/>
      <x:c r="AA32" s="15"/>
      <x:c r="AB32" s="15"/>
      <x:c r="AC32" s="12" t="str">
        <x:v>furnace</x:v>
      </x:c>
      <x:c r="AD32" s="12" t="str">
        <x:v>NaCl</x:v>
      </x:c>
      <x:c r="AE32" s="12" t="n">
        <x:v>3.5</x:v>
      </x:c>
      <x:c r="AF32" s="12"/>
      <x:c r="AG32" s="12"/>
      <x:c r="AH32" s="12"/>
      <x:c r="AI32" s="12" t="str">
        <x:v>SCE</x:v>
      </x:c>
      <x:c r="AJ32" s="12"/>
      <x:c r="AK32" s="16" t="n">
        <x:v>-0.936</x:v>
      </x:c>
      <x:c r="AL32" s="16" t="n">
        <x:v>0.0000403</x:v>
      </x:c>
      <x:c r="AM32" s="12" t="str">
        <x:v>NEW_75Cr1_24_C3</x:v>
      </x:c>
      <x:c r="AN32" s="12" t="str">
        <x:v>10.11900/0412.1961.2022.00359</x:v>
      </x:c>
      <x:c r="AO32" s="12" t="str">
        <x:v>https://www.ams.org.cn/EN/10.11900/0412.1961.2022.00359</x:v>
      </x:c>
      <x:c r="AP32" s="12" t="str">
        <x:v>Table 2, PDF p8 (printed p1236); Fig14; Sec2.4</x:v>
      </x:c>
      <x:c r="AQ32" s="12" t="str">
        <x:v>legacy_curated_not_reaudited_in_this_batch</x:v>
      </x:c>
      <x:c r="AR32" s="12" t="str">
        <x:v>reported_numeric</x:v>
      </x:c>
      <x:c r="AS32" s="12" t="n">
        <x:v>0.0000403</x:v>
      </x:c>
      <x:c r="AT32" s="12" t="str">
        <x:v>A/cm2</x:v>
      </x:c>
      <x:c r="AU32" s="12"/>
      <x:c r="AV32" s="12"/>
      <x:c r="AW32" s="12" t="n">
        <x:v>0.0195</x:v>
      </x:c>
      <x:c r="AX32" s="12"/>
      <x:c r="AY32" s="12"/>
      <x:c r="AZ32" s="12"/>
      <x:c r="BA32" s="12" t="n">
        <x:v>22</x:v>
      </x:c>
      <x:c r="BB32" s="17" t="b">
        <x:v>0</x:v>
      </x:c>
      <x:c r="BC32" s="17" t="b">
        <x:v>0</x:v>
      </x:c>
      <x:c r="BD32" s="12" t="str">
        <x:v>P; S; Ni; Mo; Cu; T.N.(Total Nitrogen); Nb; V; Ti; Sb; La; Pr; W; Y; La+Ce_합산; Fe; PREN; 열처리 온도(°C); Time(min); 침지시간(min); 온도(°C); 주사속도(mV/s)</x:v>
      </x:c>
      <x:c r="BE32" s="12" t="str">
        <x:v>Base slab composition Sec1 PDF p2; residual Ce ICP-AES Sec1 p3. Non-RE chemistry shared from base slab, not individual remelt measurements. P unreported; S only graphical and changes with Ce: left missing. Temperature, scan rate and pre-exposure unreported. 1150C/30min is separate in-situ microscopy, not PDP heat treatment. C2/C4 have no tabulated icorr and are not invented.; documented_base_plus_measured_RE</x:v>
      </x:c>
    </x:row>
    <x:row r="33" ht="40" customHeight="1">
      <x:c r="A33" s="12" t="n">
        <x:v>34</x:v>
      </x:c>
      <x:c r="B33" s="13" t="str">
        <x:v>75Cr1 고탄소 공구강(Ce 첨가)</x:v>
      </x:c>
      <x:c r="C33" s="13" t="str">
        <x:v>C5</x:v>
      </x:c>
      <x:c r="D33" s="14" t="n">
        <x:v>0.76</x:v>
      </x:c>
      <x:c r="E33" s="14" t="n">
        <x:v>0.29</x:v>
      </x:c>
      <x:c r="F33" s="14" t="n">
        <x:v>0.6938</x:v>
      </x:c>
      <x:c r="G33" s="14"/>
      <x:c r="H33" s="14"/>
      <x:c r="I33" s="14" t="n">
        <x:v>0.51</x:v>
      </x:c>
      <x:c r="J33" s="14"/>
      <x:c r="K33" s="14"/>
      <x:c r="L33" s="14"/>
      <x:c r="M33" s="14"/>
      <x:c r="N33" s="14"/>
      <x:c r="O33" s="14"/>
      <x:c r="P33" s="14"/>
      <x:c r="Q33" s="14" t="n">
        <x:v>0.013</x:v>
      </x:c>
      <x:c r="R33" s="14"/>
      <x:c r="S33" s="14" t="n">
        <x:v>0.0416</x:v>
      </x:c>
      <x:c r="T33" s="14"/>
      <x:c r="U33" s="14"/>
      <x:c r="V33" s="14"/>
      <x:c r="W33" s="14"/>
      <x:c r="X33" s="14"/>
      <x:c r="Y33" s="12"/>
      <x:c r="Z33" s="12"/>
      <x:c r="AA33" s="15"/>
      <x:c r="AB33" s="15"/>
      <x:c r="AC33" s="12" t="str">
        <x:v>furnace</x:v>
      </x:c>
      <x:c r="AD33" s="12" t="str">
        <x:v>NaCl</x:v>
      </x:c>
      <x:c r="AE33" s="12" t="n">
        <x:v>3.5</x:v>
      </x:c>
      <x:c r="AF33" s="12"/>
      <x:c r="AG33" s="12"/>
      <x:c r="AH33" s="12"/>
      <x:c r="AI33" s="12" t="str">
        <x:v>SCE</x:v>
      </x:c>
      <x:c r="AJ33" s="12"/>
      <x:c r="AK33" s="16" t="n">
        <x:v>-0.986</x:v>
      </x:c>
      <x:c r="AL33" s="16" t="n">
        <x:v>0.0000507</x:v>
      </x:c>
      <x:c r="AM33" s="12" t="str">
        <x:v>NEW_75Cr1_24_C5</x:v>
      </x:c>
      <x:c r="AN33" s="12" t="str">
        <x:v>10.11900/0412.1961.2022.00359</x:v>
      </x:c>
      <x:c r="AO33" s="12" t="str">
        <x:v>https://www.ams.org.cn/EN/10.11900/0412.1961.2022.00359</x:v>
      </x:c>
      <x:c r="AP33" s="12" t="str">
        <x:v>Table 2, PDF p8 (printed p1236); Fig14; Sec2.4</x:v>
      </x:c>
      <x:c r="AQ33" s="12" t="str">
        <x:v>legacy_curated_not_reaudited_in_this_batch</x:v>
      </x:c>
      <x:c r="AR33" s="12" t="str">
        <x:v>reported_numeric</x:v>
      </x:c>
      <x:c r="AS33" s="12" t="n">
        <x:v>0.0000507</x:v>
      </x:c>
      <x:c r="AT33" s="12" t="str">
        <x:v>A/cm2</x:v>
      </x:c>
      <x:c r="AU33" s="12"/>
      <x:c r="AV33" s="12"/>
      <x:c r="AW33" s="12" t="n">
        <x:v>0.0416</x:v>
      </x:c>
      <x:c r="AX33" s="12"/>
      <x:c r="AY33" s="12"/>
      <x:c r="AZ33" s="12"/>
      <x:c r="BA33" s="12" t="n">
        <x:v>22</x:v>
      </x:c>
      <x:c r="BB33" s="17" t="b">
        <x:v>0</x:v>
      </x:c>
      <x:c r="BC33" s="17" t="b">
        <x:v>0</x:v>
      </x:c>
      <x:c r="BD33" s="12" t="str">
        <x:v>P; S; Ni; Mo; Cu; T.N.(Total Nitrogen); Nb; V; Ti; Sb; La; Pr; W; Y; La+Ce_합산; Fe; PREN; 열처리 온도(°C); Time(min); 침지시간(min); 온도(°C); 주사속도(mV/s)</x:v>
      </x:c>
      <x:c r="BE33" s="12" t="str">
        <x:v>Base slab composition Sec1 PDF p2; residual Ce ICP-AES Sec1 p3. Non-RE chemistry shared from base slab, not individual remelt measurements. P unreported; S only graphical and changes with Ce: left missing. Temperature, scan rate and pre-exposure unreported. 1150C/30min is separate in-situ microscopy, not PDP heat treatment. C2/C4 have no tabulated icorr and are not invented.; documented_base_plus_measured_RE</x:v>
      </x:c>
    </x:row>
    <x:row r="34" ht="40" customHeight="1">
      <x:c r="A34" s="12" t="n">
        <x:v>16</x:v>
      </x:c>
      <x:c r="B34" s="13" t="str">
        <x:v>H13 열간공구강(Y첨가, 실드머신 커터링)</x:v>
      </x:c>
      <x:c r="C34" s="13" t="str">
        <x:v>Q</x:v>
      </x:c>
      <x:c r="D34" s="14" t="n">
        <x:v>0.42</x:v>
      </x:c>
      <x:c r="E34" s="14" t="n">
        <x:v>0.98</x:v>
      </x:c>
      <x:c r="F34" s="14" t="n">
        <x:v>0.41</x:v>
      </x:c>
      <x:c r="G34" s="14"/>
      <x:c r="H34" s="14"/>
      <x:c r="I34" s="14" t="n">
        <x:v>4.88</x:v>
      </x:c>
      <x:c r="J34" s="14"/>
      <x:c r="K34" s="14" t="n">
        <x:v>1.2</x:v>
      </x:c>
      <x:c r="L34" s="14"/>
      <x:c r="M34" s="14"/>
      <x:c r="N34" s="14"/>
      <x:c r="O34" s="14" t="n">
        <x:v>0.92</x:v>
      </x:c>
      <x:c r="P34" s="14"/>
      <x:c r="Q34" s="14"/>
      <x:c r="R34" s="14"/>
      <x:c r="S34" s="14"/>
      <x:c r="T34" s="14"/>
      <x:c r="U34" s="14"/>
      <x:c r="V34" s="14"/>
      <x:c r="W34" s="14" t="n">
        <x:v>0</x:v>
      </x:c>
      <x:c r="X34" s="14"/>
      <x:c r="Y34" s="12" t="str">
        <x:v>Balance</x:v>
      </x:c>
      <x:c r="Z34" s="12"/>
      <x:c r="AA34" s="15" t="n">
        <x:v>1080</x:v>
      </x:c>
      <x:c r="AB34" s="15" t="n">
        <x:v>30</x:v>
      </x:c>
      <x:c r="AC34" s="12" t="str">
        <x:v>oil</x:v>
      </x:c>
      <x:c r="AD34" s="12" t="str">
        <x:v>NaCl</x:v>
      </x:c>
      <x:c r="AE34" s="12"/>
      <x:c r="AF34" s="12"/>
      <x:c r="AG34" s="12"/>
      <x:c r="AH34" s="12" t="n">
        <x:v>25</x:v>
      </x:c>
      <x:c r="AI34" s="12" t="str">
        <x:v>SCE</x:v>
      </x:c>
      <x:c r="AJ34" s="12" t="n">
        <x:v>0.33</x:v>
      </x:c>
      <x:c r="AK34" s="16" t="n">
        <x:v>-0.486</x:v>
      </x:c>
      <x:c r="AL34" s="16" t="n">
        <x:v>0.00000459</x:v>
      </x:c>
      <x:c r="AM34" s="12" t="str">
        <x:v>WM16_Q</x:v>
      </x:c>
      <x:c r="AN34" s="12" t="str">
        <x:v>10.3390/met15090935</x:v>
      </x:c>
      <x:c r="AO34" s="12" t="str">
        <x:v>https://doi.org/10.3390/met15090935</x:v>
      </x:c>
      <x:c r="AP34" s="12" t="str">
        <x:v>Table1 p3; Sec2 pp2-3; Sec3.3 p10</x:v>
      </x:c>
      <x:c r="AQ34" s="12" t="str">
        <x:v>primary_source_transcription</x:v>
      </x:c>
      <x:c r="AR34" s="12" t="str">
        <x:v>reported_numeric</x:v>
      </x:c>
      <x:c r="AS34" s="12" t="n">
        <x:v>0.00000459</x:v>
      </x:c>
      <x:c r="AT34" s="12" t="str">
        <x:v>A/cm2</x:v>
      </x:c>
      <x:c r="AU34" s="12" t="str">
        <x:v>0.1 mol/L NaCl</x:v>
      </x:c>
      <x:c r="AV34" s="12" t="str">
        <x:v>1080C/30min oil quench</x:v>
      </x:c>
      <x:c r="AW34" s="12" t="n">
        <x:v>0</x:v>
      </x:c>
      <x:c r="AX34" s="12"/>
      <x:c r="AY34" s="12"/>
      <x:c r="AZ34" s="12"/>
      <x:c r="BA34" s="12" t="n">
        <x:v>17</x:v>
      </x:c>
      <x:c r="BB34" s="17" t="b">
        <x:v>0</x:v>
      </x:c>
      <x:c r="BC34" s="17" t="b">
        <x:v>0</x:v>
      </x:c>
      <x:c r="BD34" s="12" t="str">
        <x:v>P; S; Ni; Cu; T.N.(Total Nitrogen); Nb; Ti; Al; Sb; Ce; La; Pr; W; La+Ce_합산; PREN; 전해질 농도(wt%); 침지시간(min)</x:v>
      </x:c>
      <x:c r="BE34" s="12" t="str">
        <x:v>P/S unreported. Table1 caption nominal; ICP-MS method reported. Separate 20h immersion is not automatically PDP pre-exposure. Molarity not guessed as wt%.</x:v>
      </x:c>
    </x:row>
    <x:row r="35" ht="40" customHeight="1">
      <x:c r="A35" s="12" t="n">
        <x:v>16</x:v>
      </x:c>
      <x:c r="B35" s="13" t="str">
        <x:v>H13 열간공구강(Y첨가, 실드머신 커터링)</x:v>
      </x:c>
      <x:c r="C35" s="13" t="str">
        <x:v>YQ</x:v>
      </x:c>
      <x:c r="D35" s="14" t="n">
        <x:v>0.41</x:v>
      </x:c>
      <x:c r="E35" s="14" t="n">
        <x:v>0.87</x:v>
      </x:c>
      <x:c r="F35" s="14" t="n">
        <x:v>0.49</x:v>
      </x:c>
      <x:c r="G35" s="14"/>
      <x:c r="H35" s="14"/>
      <x:c r="I35" s="14" t="n">
        <x:v>5.48</x:v>
      </x:c>
      <x:c r="J35" s="14"/>
      <x:c r="K35" s="14" t="n">
        <x:v>1.39</x:v>
      </x:c>
      <x:c r="L35" s="14"/>
      <x:c r="M35" s="14"/>
      <x:c r="N35" s="14"/>
      <x:c r="O35" s="14" t="n">
        <x:v>0.97</x:v>
      </x:c>
      <x:c r="P35" s="14"/>
      <x:c r="Q35" s="14"/>
      <x:c r="R35" s="14"/>
      <x:c r="S35" s="14"/>
      <x:c r="T35" s="14"/>
      <x:c r="U35" s="14"/>
      <x:c r="V35" s="14"/>
      <x:c r="W35" s="14" t="n">
        <x:v>0.014</x:v>
      </x:c>
      <x:c r="X35" s="14"/>
      <x:c r="Y35" s="12" t="str">
        <x:v>Balance</x:v>
      </x:c>
      <x:c r="Z35" s="12"/>
      <x:c r="AA35" s="15" t="n">
        <x:v>1080</x:v>
      </x:c>
      <x:c r="AB35" s="15" t="n">
        <x:v>30</x:v>
      </x:c>
      <x:c r="AC35" s="12" t="str">
        <x:v>oil</x:v>
      </x:c>
      <x:c r="AD35" s="12" t="str">
        <x:v>NaCl</x:v>
      </x:c>
      <x:c r="AE35" s="12"/>
      <x:c r="AF35" s="12"/>
      <x:c r="AG35" s="12"/>
      <x:c r="AH35" s="12" t="n">
        <x:v>25</x:v>
      </x:c>
      <x:c r="AI35" s="12" t="str">
        <x:v>SCE</x:v>
      </x:c>
      <x:c r="AJ35" s="12" t="n">
        <x:v>0.33</x:v>
      </x:c>
      <x:c r="AK35" s="16" t="n">
        <x:v>-0.509</x:v>
      </x:c>
      <x:c r="AL35" s="16" t="n">
        <x:v>0.00000477</x:v>
      </x:c>
      <x:c r="AM35" s="12" t="str">
        <x:v>WM16_YQ</x:v>
      </x:c>
      <x:c r="AN35" s="12" t="str">
        <x:v>10.3390/met15090935</x:v>
      </x:c>
      <x:c r="AO35" s="12" t="str">
        <x:v>https://doi.org/10.3390/met15090935</x:v>
      </x:c>
      <x:c r="AP35" s="12" t="str">
        <x:v>Table1 p3; Sec2 pp2-3; Sec3.3 p10</x:v>
      </x:c>
      <x:c r="AQ35" s="12" t="str">
        <x:v>primary_source_transcription</x:v>
      </x:c>
      <x:c r="AR35" s="12" t="str">
        <x:v>reported_numeric</x:v>
      </x:c>
      <x:c r="AS35" s="12" t="n">
        <x:v>0.00000477</x:v>
      </x:c>
      <x:c r="AT35" s="12" t="str">
        <x:v>A/cm2</x:v>
      </x:c>
      <x:c r="AU35" s="12" t="str">
        <x:v>0.1 mol/L NaCl</x:v>
      </x:c>
      <x:c r="AV35" s="12" t="str">
        <x:v>1080C/30min oil quench</x:v>
      </x:c>
      <x:c r="AW35" s="12" t="n">
        <x:v>0.014</x:v>
      </x:c>
      <x:c r="AX35" s="12"/>
      <x:c r="AY35" s="12"/>
      <x:c r="AZ35" s="12"/>
      <x:c r="BA35" s="12" t="n">
        <x:v>17</x:v>
      </x:c>
      <x:c r="BB35" s="17" t="b">
        <x:v>0</x:v>
      </x:c>
      <x:c r="BC35" s="17" t="b">
        <x:v>0</x:v>
      </x:c>
      <x:c r="BD35" s="12" t="str">
        <x:v>P; S; Ni; Cu; T.N.(Total Nitrogen); Nb; Ti; Al; Sb; Ce; La; Pr; W; La+Ce_합산; PREN; 전해질 농도(wt%); 침지시간(min)</x:v>
      </x:c>
      <x:c r="BE35" s="12" t="str">
        <x:v>P/S unreported. Table1 caption nominal; ICP-MS method reported. Separate 20h immersion is not automatically PDP pre-exposure. Molarity not guessed as wt%.</x:v>
      </x:c>
    </x:row>
    <x:row r="36" ht="40" customHeight="1">
      <x:c r="A36" s="12" t="n">
        <x:v>16</x:v>
      </x:c>
      <x:c r="B36" s="13" t="str">
        <x:v>H13 열간공구강(Y첨가, 실드머신 커터링)</x:v>
      </x:c>
      <x:c r="C36" s="13" t="str">
        <x:v>QT</x:v>
      </x:c>
      <x:c r="D36" s="14" t="n">
        <x:v>0.42</x:v>
      </x:c>
      <x:c r="E36" s="14" t="n">
        <x:v>0.98</x:v>
      </x:c>
      <x:c r="F36" s="14" t="n">
        <x:v>0.41</x:v>
      </x:c>
      <x:c r="G36" s="14"/>
      <x:c r="H36" s="14"/>
      <x:c r="I36" s="14" t="n">
        <x:v>4.88</x:v>
      </x:c>
      <x:c r="J36" s="14"/>
      <x:c r="K36" s="14" t="n">
        <x:v>1.2</x:v>
      </x:c>
      <x:c r="L36" s="14"/>
      <x:c r="M36" s="14"/>
      <x:c r="N36" s="14"/>
      <x:c r="O36" s="14" t="n">
        <x:v>0.92</x:v>
      </x:c>
      <x:c r="P36" s="14"/>
      <x:c r="Q36" s="14"/>
      <x:c r="R36" s="14"/>
      <x:c r="S36" s="14"/>
      <x:c r="T36" s="14"/>
      <x:c r="U36" s="14"/>
      <x:c r="V36" s="14"/>
      <x:c r="W36" s="14" t="n">
        <x:v>0</x:v>
      </x:c>
      <x:c r="X36" s="14"/>
      <x:c r="Y36" s="12" t="str">
        <x:v>Balance</x:v>
      </x:c>
      <x:c r="Z36" s="12"/>
      <x:c r="AA36" s="15" t="n">
        <x:v>580</x:v>
      </x:c>
      <x:c r="AB36" s="15" t="n">
        <x:v>120</x:v>
      </x:c>
      <x:c r="AC36" s="12" t="str">
        <x:v>air</x:v>
      </x:c>
      <x:c r="AD36" s="12" t="str">
        <x:v>NaCl</x:v>
      </x:c>
      <x:c r="AE36" s="12"/>
      <x:c r="AF36" s="12"/>
      <x:c r="AG36" s="12"/>
      <x:c r="AH36" s="12" t="n">
        <x:v>25</x:v>
      </x:c>
      <x:c r="AI36" s="12" t="str">
        <x:v>SCE</x:v>
      </x:c>
      <x:c r="AJ36" s="12" t="n">
        <x:v>0.33</x:v>
      </x:c>
      <x:c r="AK36" s="16" t="n">
        <x:v>-0.594</x:v>
      </x:c>
      <x:c r="AL36" s="16" t="n">
        <x:v>0.00000446</x:v>
      </x:c>
      <x:c r="AM36" s="12" t="str">
        <x:v>WM16_QT</x:v>
      </x:c>
      <x:c r="AN36" s="12" t="str">
        <x:v>10.3390/met15090935</x:v>
      </x:c>
      <x:c r="AO36" s="12" t="str">
        <x:v>https://doi.org/10.3390/met15090935</x:v>
      </x:c>
      <x:c r="AP36" s="12" t="str">
        <x:v>Table1 p3; Sec2 pp2-3; Sec3.3 p10</x:v>
      </x:c>
      <x:c r="AQ36" s="12" t="str">
        <x:v>primary_source_transcription</x:v>
      </x:c>
      <x:c r="AR36" s="12" t="str">
        <x:v>reported_numeric</x:v>
      </x:c>
      <x:c r="AS36" s="12" t="n">
        <x:v>0.00000446</x:v>
      </x:c>
      <x:c r="AT36" s="12" t="str">
        <x:v>A/cm2</x:v>
      </x:c>
      <x:c r="AU36" s="12" t="str">
        <x:v>0.1 mol/L NaCl</x:v>
      </x:c>
      <x:c r="AV36" s="12" t="str">
        <x:v>1080C/30min oil quench; 580C/120min air cool</x:v>
      </x:c>
      <x:c r="AW36" s="12" t="n">
        <x:v>0</x:v>
      </x:c>
      <x:c r="AX36" s="12"/>
      <x:c r="AY36" s="12"/>
      <x:c r="AZ36" s="12"/>
      <x:c r="BA36" s="12" t="n">
        <x:v>17</x:v>
      </x:c>
      <x:c r="BB36" s="17" t="b">
        <x:v>0</x:v>
      </x:c>
      <x:c r="BC36" s="17" t="b">
        <x:v>0</x:v>
      </x:c>
      <x:c r="BD36" s="12" t="str">
        <x:v>P; S; Ni; Cu; T.N.(Total Nitrogen); Nb; Ti; Al; Sb; Ce; La; Pr; W; La+Ce_합산; PREN; 전해질 농도(wt%); 침지시간(min)</x:v>
      </x:c>
      <x:c r="BE36" s="12" t="str">
        <x:v>P/S unreported. Table1 caption nominal; ICP-MS method reported. Separate 20h immersion is not automatically PDP pre-exposure. Molarity not guessed as wt%.</x:v>
      </x:c>
    </x:row>
    <x:row r="37" ht="40" customHeight="1">
      <x:c r="A37" s="12" t="n">
        <x:v>16</x:v>
      </x:c>
      <x:c r="B37" s="13" t="str">
        <x:v>H13 열간공구강(Y첨가, 실드머신 커터링)</x:v>
      </x:c>
      <x:c r="C37" s="13" t="str">
        <x:v>YQT</x:v>
      </x:c>
      <x:c r="D37" s="14" t="n">
        <x:v>0.41</x:v>
      </x:c>
      <x:c r="E37" s="14" t="n">
        <x:v>0.87</x:v>
      </x:c>
      <x:c r="F37" s="14" t="n">
        <x:v>0.49</x:v>
      </x:c>
      <x:c r="G37" s="14"/>
      <x:c r="H37" s="14"/>
      <x:c r="I37" s="14" t="n">
        <x:v>5.48</x:v>
      </x:c>
      <x:c r="J37" s="14"/>
      <x:c r="K37" s="14" t="n">
        <x:v>1.39</x:v>
      </x:c>
      <x:c r="L37" s="14"/>
      <x:c r="M37" s="14"/>
      <x:c r="N37" s="14"/>
      <x:c r="O37" s="14" t="n">
        <x:v>0.97</x:v>
      </x:c>
      <x:c r="P37" s="14"/>
      <x:c r="Q37" s="14"/>
      <x:c r="R37" s="14"/>
      <x:c r="S37" s="14"/>
      <x:c r="T37" s="14"/>
      <x:c r="U37" s="14"/>
      <x:c r="V37" s="14"/>
      <x:c r="W37" s="14" t="n">
        <x:v>0.014</x:v>
      </x:c>
      <x:c r="X37" s="14"/>
      <x:c r="Y37" s="12" t="str">
        <x:v>Balance</x:v>
      </x:c>
      <x:c r="Z37" s="12"/>
      <x:c r="AA37" s="15" t="n">
        <x:v>580</x:v>
      </x:c>
      <x:c r="AB37" s="15" t="n">
        <x:v>120</x:v>
      </x:c>
      <x:c r="AC37" s="12" t="str">
        <x:v>air</x:v>
      </x:c>
      <x:c r="AD37" s="12" t="str">
        <x:v>NaCl</x:v>
      </x:c>
      <x:c r="AE37" s="12"/>
      <x:c r="AF37" s="12"/>
      <x:c r="AG37" s="12"/>
      <x:c r="AH37" s="12" t="n">
        <x:v>25</x:v>
      </x:c>
      <x:c r="AI37" s="12" t="str">
        <x:v>SCE</x:v>
      </x:c>
      <x:c r="AJ37" s="12" t="n">
        <x:v>0.33</x:v>
      </x:c>
      <x:c r="AK37" s="16" t="n">
        <x:v>-0.554</x:v>
      </x:c>
      <x:c r="AL37" s="16" t="n">
        <x:v>0.00000532</x:v>
      </x:c>
      <x:c r="AM37" s="12" t="str">
        <x:v>WM16_YQT</x:v>
      </x:c>
      <x:c r="AN37" s="12" t="str">
        <x:v>10.3390/met15090935</x:v>
      </x:c>
      <x:c r="AO37" s="12" t="str">
        <x:v>https://doi.org/10.3390/met15090935</x:v>
      </x:c>
      <x:c r="AP37" s="12" t="str">
        <x:v>Table1 p3; Sec2 pp2-3; Sec3.3 p10</x:v>
      </x:c>
      <x:c r="AQ37" s="12" t="str">
        <x:v>primary_source_transcription</x:v>
      </x:c>
      <x:c r="AR37" s="12" t="str">
        <x:v>reported_numeric</x:v>
      </x:c>
      <x:c r="AS37" s="12" t="n">
        <x:v>0.00000532</x:v>
      </x:c>
      <x:c r="AT37" s="12" t="str">
        <x:v>A/cm2</x:v>
      </x:c>
      <x:c r="AU37" s="12" t="str">
        <x:v>0.1 mol/L NaCl</x:v>
      </x:c>
      <x:c r="AV37" s="12" t="str">
        <x:v>1080C/30min oil quench; 580C/120min air cool</x:v>
      </x:c>
      <x:c r="AW37" s="12" t="n">
        <x:v>0.014</x:v>
      </x:c>
      <x:c r="AX37" s="12"/>
      <x:c r="AY37" s="12"/>
      <x:c r="AZ37" s="12"/>
      <x:c r="BA37" s="12" t="n">
        <x:v>17</x:v>
      </x:c>
      <x:c r="BB37" s="17" t="b">
        <x:v>0</x:v>
      </x:c>
      <x:c r="BC37" s="17" t="b">
        <x:v>0</x:v>
      </x:c>
      <x:c r="BD37" s="12" t="str">
        <x:v>P; S; Ni; Cu; T.N.(Total Nitrogen); Nb; Ti; Al; Sb; Ce; La; Pr; W; La+Ce_합산; PREN; 전해질 농도(wt%); 침지시간(min)</x:v>
      </x:c>
      <x:c r="BE37" s="12" t="str">
        <x:v>P/S unreported. Table1 caption nominal; ICP-MS method reported. Separate 20h immersion is not automatically PDP pre-exposure. Molarity not guessed as wt%.</x:v>
      </x:c>
    </x:row>
    <x:row r="38" ht="40" customHeight="1">
      <x:c r="A38" s="12" t="n">
        <x:v>30</x:v>
      </x:c>
      <x:c r="B38" s="13" t="str">
        <x:v>S31254 초오스테나이트계 스테인리스강(20Cr-18Ni-6Mo-0.2N)</x:v>
      </x:c>
      <x:c r="C38" s="13" t="str">
        <x:v>0B</x:v>
      </x:c>
      <x:c r="D38" s="14" t="n">
        <x:v>0.012</x:v>
      </x:c>
      <x:c r="E38" s="14" t="n">
        <x:v>0.64</x:v>
      </x:c>
      <x:c r="F38" s="14" t="n">
        <x:v>0.47</x:v>
      </x:c>
      <x:c r="G38" s="14" t="n">
        <x:v>0.035</x:v>
      </x:c>
      <x:c r="H38" s="14" t="n">
        <x:v>0.006</x:v>
      </x:c>
      <x:c r="I38" s="14" t="n">
        <x:v>19.18</x:v>
      </x:c>
      <x:c r="J38" s="14" t="n">
        <x:v>18.11</x:v>
      </x:c>
      <x:c r="K38" s="14" t="n">
        <x:v>6.17</x:v>
      </x:c>
      <x:c r="L38" s="14" t="n">
        <x:v>0.71</x:v>
      </x:c>
      <x:c r="M38" s="14" t="n">
        <x:v>0.2</x:v>
      </x:c>
      <x:c r="N38" s="14"/>
      <x:c r="O38" s="14"/>
      <x:c r="P38" s="14"/>
      <x:c r="Q38" s="14"/>
      <x:c r="R38" s="14"/>
      <x:c r="S38" s="14" t="n">
        <x:v>0</x:v>
      </x:c>
      <x:c r="T38" s="14"/>
      <x:c r="U38" s="14"/>
      <x:c r="V38" s="14"/>
      <x:c r="W38" s="14"/>
      <x:c r="X38" s="14"/>
      <x:c r="Y38" s="12"/>
      <x:c r="Z38" s="12" t="n">
        <x:v>42.741</x:v>
      </x:c>
      <x:c r="AA38" s="15" t="n">
        <x:v>950</x:v>
      </x:c>
      <x:c r="AB38" s="15" t="n">
        <x:v>30</x:v>
      </x:c>
      <x:c r="AC38" s="12" t="str">
        <x:v>water</x:v>
      </x:c>
      <x:c r="AD38" s="12" t="str">
        <x:v>H2SO4_HCl_FeCl3_CuCl2</x:v>
      </x:c>
      <x:c r="AE38" s="12"/>
      <x:c r="AF38" s="12" t="n">
        <x:v>30</x:v>
      </x:c>
      <x:c r="AG38" s="12"/>
      <x:c r="AH38" s="12" t="n">
        <x:v>30</x:v>
      </x:c>
      <x:c r="AI38" s="12" t="str">
        <x:v>SCE</x:v>
      </x:c>
      <x:c r="AJ38" s="12"/>
      <x:c r="AK38" s="16" t="n">
        <x:v>-0.3076</x:v>
      </x:c>
      <x:c r="AL38" s="16" t="n">
        <x:v>7.4063e-7</x:v>
      </x:c>
      <x:c r="AM38" s="12" t="str">
        <x:v>WM30_0B</x:v>
      </x:c>
      <x:c r="AN38" s="12" t="str">
        <x:v>10.11902/1005.4537.2024.043</x:v>
      </x:c>
      <x:c r="AO38" s="12" t="str">
        <x:v>https://doi.org/10.11902/1005.4537.2024.043</x:v>
      </x:c>
      <x:c r="AP38" s="12" t="str">
        <x:v>Table1 PDF p2; methods pp2-3; Table3/Fig5 PDF p5</x:v>
      </x:c>
      <x:c r="AQ38" s="12" t="str">
        <x:v>primary_source_transcription</x:v>
      </x:c>
      <x:c r="AR38" s="12" t="str">
        <x:v>reported_numeric</x:v>
      </x:c>
      <x:c r="AS38" s="12" t="n">
        <x:v>7.4063e-7</x:v>
      </x:c>
      <x:c r="AT38" s="12" t="str">
        <x:v>A/cm2</x:v>
      </x:c>
      <x:c r="AU38" s="12" t="str">
        <x:v>11.5wt%H2SO4+1.2wt%HCl+1.0wt%FeCl3+1.0wt%CuCl2</x:v>
      </x:c>
      <x:c r="AV38" s="12" t="str">
        <x:v>1200C/10h homogenize;hot roll;1220C/2h solution;950C/30min age;water quench</x:v>
      </x:c>
      <x:c r="AW38" s="12" t="n">
        <x:v>0</x:v>
      </x:c>
      <x:c r="AX38" s="12" t="n">
        <x:v>0</x:v>
      </x:c>
      <x:c r="AY38" s="12"/>
      <x:c r="AZ38" s="12"/>
      <x:c r="BA38" s="12" t="n">
        <x:v>13</x:v>
      </x:c>
      <x:c r="BB38" s="17" t="b">
        <x:v>0</x:v>
      </x:c>
      <x:c r="BC38" s="17" t="b">
        <x:v>0</x:v>
      </x:c>
      <x:c r="BD38" s="12" t="str">
        <x:v>Nb; V; Ti; Al; Sb; La; Pr; W; Y; La+Ce_합산; Fe; 전해질 농도(wt%); 주사속도(mV/s)</x:v>
      </x:c>
      <x:c r="BE38" s="12" t="str">
        <x:v>AF=30min explicitly pre-PDP stabilization; prior cathodic depassivation5min separate. Scan rate unreported. B also changes; not causal Ce comparison. PREN calculated as Cr+3.3Mo+16N; not a measurement.</x:v>
      </x:c>
    </x:row>
    <x:row r="39" ht="40" customHeight="1">
      <x:c r="A39" s="12" t="n">
        <x:v>30</x:v>
      </x:c>
      <x:c r="B39" s="13" t="str">
        <x:v>S31254 초오스테나이트계 스테인리스강(20Cr-18Ni-6Mo-0.2N)</x:v>
      </x:c>
      <x:c r="C39" s="13" t="str">
        <x:v>50B</x:v>
      </x:c>
      <x:c r="D39" s="14" t="n">
        <x:v>0.012</x:v>
      </x:c>
      <x:c r="E39" s="14" t="n">
        <x:v>0.61</x:v>
      </x:c>
      <x:c r="F39" s="14" t="n">
        <x:v>0.49</x:v>
      </x:c>
      <x:c r="G39" s="14" t="n">
        <x:v>0.017</x:v>
      </x:c>
      <x:c r="H39" s="14" t="n">
        <x:v>0.005</x:v>
      </x:c>
      <x:c r="I39" s="14" t="n">
        <x:v>18.59</x:v>
      </x:c>
      <x:c r="J39" s="14" t="n">
        <x:v>18.11</x:v>
      </x:c>
      <x:c r="K39" s="14" t="n">
        <x:v>6.12</x:v>
      </x:c>
      <x:c r="L39" s="14" t="n">
        <x:v>0.58</x:v>
      </x:c>
      <x:c r="M39" s="14" t="n">
        <x:v>0.2</x:v>
      </x:c>
      <x:c r="N39" s="14"/>
      <x:c r="O39" s="14"/>
      <x:c r="P39" s="14"/>
      <x:c r="Q39" s="14"/>
      <x:c r="R39" s="14"/>
      <x:c r="S39" s="14" t="n">
        <x:v>0</x:v>
      </x:c>
      <x:c r="T39" s="14"/>
      <x:c r="U39" s="14"/>
      <x:c r="V39" s="14"/>
      <x:c r="W39" s="14"/>
      <x:c r="X39" s="14"/>
      <x:c r="Y39" s="12"/>
      <x:c r="Z39" s="12" t="n">
        <x:v>41.986000000000004</x:v>
      </x:c>
      <x:c r="AA39" s="15" t="n">
        <x:v>950</x:v>
      </x:c>
      <x:c r="AB39" s="15" t="n">
        <x:v>30</x:v>
      </x:c>
      <x:c r="AC39" s="12" t="str">
        <x:v>water</x:v>
      </x:c>
      <x:c r="AD39" s="12" t="str">
        <x:v>H2SO4_HCl_FeCl3_CuCl2</x:v>
      </x:c>
      <x:c r="AE39" s="12"/>
      <x:c r="AF39" s="12" t="n">
        <x:v>30</x:v>
      </x:c>
      <x:c r="AG39" s="12"/>
      <x:c r="AH39" s="12" t="n">
        <x:v>30</x:v>
      </x:c>
      <x:c r="AI39" s="12" t="str">
        <x:v>SCE</x:v>
      </x:c>
      <x:c r="AJ39" s="12"/>
      <x:c r="AK39" s="16" t="n">
        <x:v>-0.2806</x:v>
      </x:c>
      <x:c r="AL39" s="16" t="n">
        <x:v>5.6066e-7</x:v>
      </x:c>
      <x:c r="AM39" s="12" t="str">
        <x:v>WM30_50B</x:v>
      </x:c>
      <x:c r="AN39" s="12" t="str">
        <x:v>10.11902/1005.4537.2024.043</x:v>
      </x:c>
      <x:c r="AO39" s="12" t="str">
        <x:v>https://doi.org/10.11902/1005.4537.2024.043</x:v>
      </x:c>
      <x:c r="AP39" s="12" t="str">
        <x:v>Table1 PDF p2; methods pp2-3; Table3/Fig5 PDF p5</x:v>
      </x:c>
      <x:c r="AQ39" s="12" t="str">
        <x:v>primary_source_transcription</x:v>
      </x:c>
      <x:c r="AR39" s="12" t="str">
        <x:v>reported_numeric</x:v>
      </x:c>
      <x:c r="AS39" s="12" t="n">
        <x:v>5.6066e-7</x:v>
      </x:c>
      <x:c r="AT39" s="12" t="str">
        <x:v>A/cm2</x:v>
      </x:c>
      <x:c r="AU39" s="12" t="str">
        <x:v>11.5wt%H2SO4+1.2wt%HCl+1.0wt%FeCl3+1.0wt%CuCl2</x:v>
      </x:c>
      <x:c r="AV39" s="12" t="str">
        <x:v>1200C/10h homogenize;hot roll;1220C/2h solution;950C/30min age;water quench</x:v>
      </x:c>
      <x:c r="AW39" s="12" t="n">
        <x:v>0</x:v>
      </x:c>
      <x:c r="AX39" s="12" t="n">
        <x:v>0.005</x:v>
      </x:c>
      <x:c r="AY39" s="12"/>
      <x:c r="AZ39" s="12"/>
      <x:c r="BA39" s="12" t="n">
        <x:v>13</x:v>
      </x:c>
      <x:c r="BB39" s="17" t="b">
        <x:v>0</x:v>
      </x:c>
      <x:c r="BC39" s="17" t="b">
        <x:v>0</x:v>
      </x:c>
      <x:c r="BD39" s="12" t="str">
        <x:v>Nb; V; Ti; Al; Sb; La; Pr; W; Y; La+Ce_합산; Fe; 전해질 농도(wt%); 주사속도(mV/s)</x:v>
      </x:c>
      <x:c r="BE39" s="12" t="str">
        <x:v>AF=30min explicitly pre-PDP stabilization; prior cathodic depassivation5min separate. Scan rate unreported. B also changes; not causal Ce comparison. PREN calculated as Cr+3.3Mo+16N; not a measurement.</x:v>
      </x:c>
    </x:row>
    <x:row r="40" ht="40" customHeight="1">
      <x:c r="A40" s="12" t="n">
        <x:v>30</x:v>
      </x:c>
      <x:c r="B40" s="13" t="str">
        <x:v>S31254 초오스테나이트계 스테인리스강(20Cr-18Ni-6Mo-0.2N)</x:v>
      </x:c>
      <x:c r="C40" s="13" t="str">
        <x:v>50B-20Ce</x:v>
      </x:c>
      <x:c r="D40" s="14" t="n">
        <x:v>0.018</x:v>
      </x:c>
      <x:c r="E40" s="14" t="n">
        <x:v>0.17</x:v>
      </x:c>
      <x:c r="F40" s="14" t="n">
        <x:v>1.82</x:v>
      </x:c>
      <x:c r="G40" s="14" t="n">
        <x:v>0.007</x:v>
      </x:c>
      <x:c r="H40" s="14" t="n">
        <x:v>0.002</x:v>
      </x:c>
      <x:c r="I40" s="14" t="n">
        <x:v>19.84</x:v>
      </x:c>
      <x:c r="J40" s="14" t="n">
        <x:v>18.07</x:v>
      </x:c>
      <x:c r="K40" s="14" t="n">
        <x:v>6.21</x:v>
      </x:c>
      <x:c r="L40" s="14" t="n">
        <x:v>0.56</x:v>
      </x:c>
      <x:c r="M40" s="14" t="n">
        <x:v>0.199</x:v>
      </x:c>
      <x:c r="N40" s="14"/>
      <x:c r="O40" s="14"/>
      <x:c r="P40" s="14"/>
      <x:c r="Q40" s="14"/>
      <x:c r="R40" s="14"/>
      <x:c r="S40" s="14" t="n">
        <x:v>0.002</x:v>
      </x:c>
      <x:c r="T40" s="14"/>
      <x:c r="U40" s="14"/>
      <x:c r="V40" s="14"/>
      <x:c r="W40" s="14"/>
      <x:c r="X40" s="14"/>
      <x:c r="Y40" s="12"/>
      <x:c r="Z40" s="12" t="n">
        <x:v>43.516999999999996</x:v>
      </x:c>
      <x:c r="AA40" s="15" t="n">
        <x:v>950</x:v>
      </x:c>
      <x:c r="AB40" s="15" t="n">
        <x:v>30</x:v>
      </x:c>
      <x:c r="AC40" s="12" t="str">
        <x:v>water</x:v>
      </x:c>
      <x:c r="AD40" s="12" t="str">
        <x:v>H2SO4_HCl_FeCl3_CuCl2</x:v>
      </x:c>
      <x:c r="AE40" s="12"/>
      <x:c r="AF40" s="12" t="n">
        <x:v>30</x:v>
      </x:c>
      <x:c r="AG40" s="12"/>
      <x:c r="AH40" s="12" t="n">
        <x:v>30</x:v>
      </x:c>
      <x:c r="AI40" s="12" t="str">
        <x:v>SCE</x:v>
      </x:c>
      <x:c r="AJ40" s="12"/>
      <x:c r="AK40" s="16" t="n">
        <x:v>-0.2376</x:v>
      </x:c>
      <x:c r="AL40" s="16" t="n">
        <x:v>4.3216e-7</x:v>
      </x:c>
      <x:c r="AM40" s="12" t="str">
        <x:v>WM30_50B-20Ce</x:v>
      </x:c>
      <x:c r="AN40" s="12" t="str">
        <x:v>10.11902/1005.4537.2024.043</x:v>
      </x:c>
      <x:c r="AO40" s="12" t="str">
        <x:v>https://doi.org/10.11902/1005.4537.2024.043</x:v>
      </x:c>
      <x:c r="AP40" s="12" t="str">
        <x:v>Table1 PDF p2; methods pp2-3; Table3/Fig5 PDF p5</x:v>
      </x:c>
      <x:c r="AQ40" s="12" t="str">
        <x:v>primary_source_transcription</x:v>
      </x:c>
      <x:c r="AR40" s="12" t="str">
        <x:v>reported_numeric</x:v>
      </x:c>
      <x:c r="AS40" s="12" t="n">
        <x:v>4.3216e-7</x:v>
      </x:c>
      <x:c r="AT40" s="12" t="str">
        <x:v>A/cm2</x:v>
      </x:c>
      <x:c r="AU40" s="12" t="str">
        <x:v>11.5wt%H2SO4+1.2wt%HCl+1.0wt%FeCl3+1.0wt%CuCl2</x:v>
      </x:c>
      <x:c r="AV40" s="12" t="str">
        <x:v>1200C/10h homogenize;hot roll;1220C/2h solution;950C/30min age;water quench</x:v>
      </x:c>
      <x:c r="AW40" s="12" t="n">
        <x:v>0.002</x:v>
      </x:c>
      <x:c r="AX40" s="12" t="n">
        <x:v>0.005</x:v>
      </x:c>
      <x:c r="AY40" s="12"/>
      <x:c r="AZ40" s="12"/>
      <x:c r="BA40" s="12" t="n">
        <x:v>13</x:v>
      </x:c>
      <x:c r="BB40" s="17" t="b">
        <x:v>0</x:v>
      </x:c>
      <x:c r="BC40" s="17" t="b">
        <x:v>0</x:v>
      </x:c>
      <x:c r="BD40" s="12" t="str">
        <x:v>Nb; V; Ti; Al; Sb; La; Pr; W; Y; La+Ce_합산; Fe; 전해질 농도(wt%); 주사속도(mV/s)</x:v>
      </x:c>
      <x:c r="BE40" s="12" t="str">
        <x:v>AF=30min explicitly pre-PDP stabilization; prior cathodic depassivation5min separate. Scan rate unreported. B also changes; not causal Ce comparison. PREN calculated as Cr+3.3Mo+16N; not a measurement.</x:v>
      </x:c>
    </x:row>
    <x:row r="41" ht="40" customHeight="1">
      <x:c r="A41" s="12" t="n">
        <x:v>30</x:v>
      </x:c>
      <x:c r="B41" s="13" t="str">
        <x:v>S31254 초오스테나이트계 스테인리스강(20Cr-18Ni-6Mo-0.2N)</x:v>
      </x:c>
      <x:c r="C41" s="13" t="str">
        <x:v>50B-50Ce</x:v>
      </x:c>
      <x:c r="D41" s="14" t="n">
        <x:v>0.015</x:v>
      </x:c>
      <x:c r="E41" s="14" t="n">
        <x:v>0.17</x:v>
      </x:c>
      <x:c r="F41" s="14" t="n">
        <x:v>1.87</x:v>
      </x:c>
      <x:c r="G41" s="14" t="n">
        <x:v>0.008</x:v>
      </x:c>
      <x:c r="H41" s="14" t="n">
        <x:v>0.002</x:v>
      </x:c>
      <x:c r="I41" s="14" t="n">
        <x:v>20.08</x:v>
      </x:c>
      <x:c r="J41" s="14" t="n">
        <x:v>17.94</x:v>
      </x:c>
      <x:c r="K41" s="14" t="n">
        <x:v>6.02</x:v>
      </x:c>
      <x:c r="L41" s="14" t="n">
        <x:v>0.48</x:v>
      </x:c>
      <x:c r="M41" s="14" t="n">
        <x:v>0.187</x:v>
      </x:c>
      <x:c r="N41" s="14"/>
      <x:c r="O41" s="14"/>
      <x:c r="P41" s="14"/>
      <x:c r="Q41" s="14"/>
      <x:c r="R41" s="14"/>
      <x:c r="S41" s="14" t="n">
        <x:v>0.005</x:v>
      </x:c>
      <x:c r="T41" s="14"/>
      <x:c r="U41" s="14"/>
      <x:c r="V41" s="14"/>
      <x:c r="W41" s="14"/>
      <x:c r="X41" s="14"/>
      <x:c r="Y41" s="12"/>
      <x:c r="Z41" s="12" t="n">
        <x:v>42.937999999999995</x:v>
      </x:c>
      <x:c r="AA41" s="15" t="n">
        <x:v>950</x:v>
      </x:c>
      <x:c r="AB41" s="15" t="n">
        <x:v>30</x:v>
      </x:c>
      <x:c r="AC41" s="12" t="str">
        <x:v>water</x:v>
      </x:c>
      <x:c r="AD41" s="12" t="str">
        <x:v>H2SO4_HCl_FeCl3_CuCl2</x:v>
      </x:c>
      <x:c r="AE41" s="12"/>
      <x:c r="AF41" s="12" t="n">
        <x:v>30</x:v>
      </x:c>
      <x:c r="AG41" s="12"/>
      <x:c r="AH41" s="12" t="n">
        <x:v>30</x:v>
      </x:c>
      <x:c r="AI41" s="12" t="str">
        <x:v>SCE</x:v>
      </x:c>
      <x:c r="AJ41" s="12"/>
      <x:c r="AK41" s="16" t="n">
        <x:v>-0.1506</x:v>
      </x:c>
      <x:c r="AL41" s="16" t="n">
        <x:v>1.0656e-7</x:v>
      </x:c>
      <x:c r="AM41" s="12" t="str">
        <x:v>WM30_50B-50Ce</x:v>
      </x:c>
      <x:c r="AN41" s="12" t="str">
        <x:v>10.11902/1005.4537.2024.043</x:v>
      </x:c>
      <x:c r="AO41" s="12" t="str">
        <x:v>https://doi.org/10.11902/1005.4537.2024.043</x:v>
      </x:c>
      <x:c r="AP41" s="12" t="str">
        <x:v>Table1 PDF p2; methods pp2-3; Table3/Fig5 PDF p5</x:v>
      </x:c>
      <x:c r="AQ41" s="12" t="str">
        <x:v>primary_source_transcription</x:v>
      </x:c>
      <x:c r="AR41" s="12" t="str">
        <x:v>reported_numeric</x:v>
      </x:c>
      <x:c r="AS41" s="12" t="n">
        <x:v>1.0656e-7</x:v>
      </x:c>
      <x:c r="AT41" s="12" t="str">
        <x:v>A/cm2</x:v>
      </x:c>
      <x:c r="AU41" s="12" t="str">
        <x:v>11.5wt%H2SO4+1.2wt%HCl+1.0wt%FeCl3+1.0wt%CuCl2</x:v>
      </x:c>
      <x:c r="AV41" s="12" t="str">
        <x:v>1200C/10h homogenize;hot roll;1220C/2h solution;950C/30min age;water quench</x:v>
      </x:c>
      <x:c r="AW41" s="12" t="n">
        <x:v>0.005</x:v>
      </x:c>
      <x:c r="AX41" s="12" t="n">
        <x:v>0.005</x:v>
      </x:c>
      <x:c r="AY41" s="12"/>
      <x:c r="AZ41" s="12"/>
      <x:c r="BA41" s="12" t="n">
        <x:v>13</x:v>
      </x:c>
      <x:c r="BB41" s="17" t="b">
        <x:v>0</x:v>
      </x:c>
      <x:c r="BC41" s="17" t="b">
        <x:v>0</x:v>
      </x:c>
      <x:c r="BD41" s="12" t="str">
        <x:v>Nb; V; Ti; Al; Sb; La; Pr; W; Y; La+Ce_합산; Fe; 전해질 농도(wt%); 주사속도(mV/s)</x:v>
      </x:c>
      <x:c r="BE41" s="12" t="str">
        <x:v>AF=30min explicitly pre-PDP stabilization; prior cathodic depassivation5min separate. Scan rate unreported. B also changes; not causal Ce comparison. PREN calculated as Cr+3.3Mo+16N; not a measurement.</x:v>
      </x:c>
    </x:row>
    <x:row r="42" ht="40" customHeight="1">
      <x:c r="A42" s="12" t="n">
        <x:v>41</x:v>
      </x:c>
      <x:c r="B42" s="13" t="str">
        <x:v>S31254-Ce 초오스테나이트계 스테인리스강(20Cr-18Ni-6Mo-0.21N, Ce 0.004%)</x:v>
      </x:c>
      <x:c r="C42" s="13" t="str">
        <x:v>solution</x:v>
      </x:c>
      <x:c r="D42" s="14" t="n">
        <x:v>0.012</x:v>
      </x:c>
      <x:c r="E42" s="14" t="n">
        <x:v>0.61</x:v>
      </x:c>
      <x:c r="F42" s="14" t="n">
        <x:v>0.93</x:v>
      </x:c>
      <x:c r="G42" s="14" t="n">
        <x:v>0.01</x:v>
      </x:c>
      <x:c r="H42" s="14" t="n">
        <x:v>0.002</x:v>
      </x:c>
      <x:c r="I42" s="14" t="n">
        <x:v>20.17</x:v>
      </x:c>
      <x:c r="J42" s="14" t="n">
        <x:v>18.15</x:v>
      </x:c>
      <x:c r="K42" s="14" t="n">
        <x:v>6.03</x:v>
      </x:c>
      <x:c r="L42" s="14" t="n">
        <x:v>0.72</x:v>
      </x:c>
      <x:c r="M42" s="14" t="n">
        <x:v>0.212</x:v>
      </x:c>
      <x:c r="N42" s="14"/>
      <x:c r="O42" s="14"/>
      <x:c r="P42" s="14"/>
      <x:c r="Q42" s="14"/>
      <x:c r="R42" s="14"/>
      <x:c r="S42" s="14" t="n">
        <x:v>0.004</x:v>
      </x:c>
      <x:c r="T42" s="14"/>
      <x:c r="U42" s="14"/>
      <x:c r="V42" s="14"/>
      <x:c r="W42" s="14"/>
      <x:c r="X42" s="14"/>
      <x:c r="Y42" s="12" t="str">
        <x:v>Balance</x:v>
      </x:c>
      <x:c r="Z42" s="12" t="n">
        <x:v>43.461000000000006</x:v>
      </x:c>
      <x:c r="AA42" s="15" t="n">
        <x:v>1250</x:v>
      </x:c>
      <x:c r="AB42" s="15" t="n">
        <x:v>120</x:v>
      </x:c>
      <x:c r="AC42" s="12" t="str">
        <x:v>water</x:v>
      </x:c>
      <x:c r="AD42" s="12" t="str">
        <x:v>NaCl</x:v>
      </x:c>
      <x:c r="AE42" s="12" t="n">
        <x:v>10</x:v>
      </x:c>
      <x:c r="AF42" s="12"/>
      <x:c r="AG42" s="12"/>
      <x:c r="AH42" s="12" t="n">
        <x:v>25</x:v>
      </x:c>
      <x:c r="AI42" s="12" t="str">
        <x:v>SCE</x:v>
      </x:c>
      <x:c r="AJ42" s="12"/>
      <x:c r="AK42" s="16" t="n">
        <x:v>-0.148</x:v>
      </x:c>
      <x:c r="AL42" s="16"/>
      <x:c r="AM42" s="12" t="str">
        <x:v>WM41_solution</x:v>
      </x:c>
      <x:c r="AN42" s="12" t="str">
        <x:v>10.11902/1005.4537.2022.135</x:v>
      </x:c>
      <x:c r="AO42" s="12" t="str">
        <x:v>https://doi.org/10.11902/1005.4537.2022.135</x:v>
      </x:c>
      <x:c r="AP42" s="12" t="str">
        <x:v>Sec1 composition and methods PDF p2; Table1/Fig6 PDF p5</x:v>
      </x:c>
      <x:c r="AQ42" s="12" t="str">
        <x:v>primary_source_transcription</x:v>
      </x:c>
      <x:c r="AR42" s="12" t="str">
        <x:v>quarantined_printed_unit_conflict</x:v>
      </x:c>
      <x:c r="AS42" s="12" t="n">
        <x:v>2.11</x:v>
      </x:c>
      <x:c r="AT42" s="12" t="str">
        <x:v>Table1: Icorr/10^7 A cm^-2 (printed positive exponent)</x:v>
      </x:c>
      <x:c r="AU42" s="12"/>
      <x:c r="AV42" s="12"/>
      <x:c r="AW42" s="12" t="n">
        <x:v>0.004</x:v>
      </x:c>
      <x:c r="AX42" s="12"/>
      <x:c r="AY42" s="12"/>
      <x:c r="AZ42" s="12"/>
      <x:c r="BA42" s="12" t="n">
        <x:v>13</x:v>
      </x:c>
      <x:c r="BB42" s="17" t="b">
        <x:v>0</x:v>
      </x:c>
      <x:c r="BC42" s="17" t="b">
        <x:v>0</x:v>
      </x:c>
      <x:c r="BD42" s="12" t="str">
        <x:v>Nb; V; Ti; Al; Sb; La; Pr; W; Y; La+Ce_합산; 침지시간(min); 주사속도(mV/s); icorr(A/cm2)</x:v>
      </x:c>
      <x:c r="BE42" s="12" t="str">
        <x:v>Do not infer missing minus sign from graph or bibliography. AL intentionally unavailable until correction verified. Different aging states are separate conditions. PREN calculated as Cr+3.3Mo+16N; not a measurement.</x:v>
      </x:c>
    </x:row>
    <x:row r="43" ht="40" customHeight="1">
      <x:c r="A43" s="12" t="n">
        <x:v>41</x:v>
      </x:c>
      <x:c r="B43" s="13" t="str">
        <x:v>S31254-Ce 초오스테나이트계 스테인리스강(20Cr-18Ni-6Mo-0.21N, Ce 0.004%)</x:v>
      </x:c>
      <x:c r="C43" s="13" t="str">
        <x:v>aged_800</x:v>
      </x:c>
      <x:c r="D43" s="14" t="n">
        <x:v>0.012</x:v>
      </x:c>
      <x:c r="E43" s="14" t="n">
        <x:v>0.61</x:v>
      </x:c>
      <x:c r="F43" s="14" t="n">
        <x:v>0.93</x:v>
      </x:c>
      <x:c r="G43" s="14" t="n">
        <x:v>0.01</x:v>
      </x:c>
      <x:c r="H43" s="14" t="n">
        <x:v>0.002</x:v>
      </x:c>
      <x:c r="I43" s="14" t="n">
        <x:v>20.17</x:v>
      </x:c>
      <x:c r="J43" s="14" t="n">
        <x:v>18.15</x:v>
      </x:c>
      <x:c r="K43" s="14" t="n">
        <x:v>6.03</x:v>
      </x:c>
      <x:c r="L43" s="14" t="n">
        <x:v>0.72</x:v>
      </x:c>
      <x:c r="M43" s="14" t="n">
        <x:v>0.212</x:v>
      </x:c>
      <x:c r="N43" s="14"/>
      <x:c r="O43" s="14"/>
      <x:c r="P43" s="14"/>
      <x:c r="Q43" s="14"/>
      <x:c r="R43" s="14"/>
      <x:c r="S43" s="14" t="n">
        <x:v>0.004</x:v>
      </x:c>
      <x:c r="T43" s="14"/>
      <x:c r="U43" s="14"/>
      <x:c r="V43" s="14"/>
      <x:c r="W43" s="14"/>
      <x:c r="X43" s="14"/>
      <x:c r="Y43" s="12" t="str">
        <x:v>Balance</x:v>
      </x:c>
      <x:c r="Z43" s="12" t="n">
        <x:v>43.461000000000006</x:v>
      </x:c>
      <x:c r="AA43" s="15" t="n">
        <x:v>800</x:v>
      </x:c>
      <x:c r="AB43" s="15" t="n">
        <x:v>90</x:v>
      </x:c>
      <x:c r="AC43" s="12" t="str">
        <x:v>water</x:v>
      </x:c>
      <x:c r="AD43" s="12" t="str">
        <x:v>NaCl</x:v>
      </x:c>
      <x:c r="AE43" s="12" t="n">
        <x:v>10</x:v>
      </x:c>
      <x:c r="AF43" s="12"/>
      <x:c r="AG43" s="12"/>
      <x:c r="AH43" s="12" t="n">
        <x:v>25</x:v>
      </x:c>
      <x:c r="AI43" s="12" t="str">
        <x:v>SCE</x:v>
      </x:c>
      <x:c r="AJ43" s="12"/>
      <x:c r="AK43" s="16" t="n">
        <x:v>-0.149</x:v>
      </x:c>
      <x:c r="AL43" s="16"/>
      <x:c r="AM43" s="12" t="str">
        <x:v>WM41_aged_800</x:v>
      </x:c>
      <x:c r="AN43" s="12" t="str">
        <x:v>10.11902/1005.4537.2022.135</x:v>
      </x:c>
      <x:c r="AO43" s="12" t="str">
        <x:v>https://doi.org/10.11902/1005.4537.2022.135</x:v>
      </x:c>
      <x:c r="AP43" s="12" t="str">
        <x:v>Sec1 composition and methods PDF p2; Table1/Fig6 PDF p5</x:v>
      </x:c>
      <x:c r="AQ43" s="12" t="str">
        <x:v>primary_source_transcription</x:v>
      </x:c>
      <x:c r="AR43" s="12" t="str">
        <x:v>quarantined_printed_unit_conflict</x:v>
      </x:c>
      <x:c r="AS43" s="12" t="n">
        <x:v>2.14</x:v>
      </x:c>
      <x:c r="AT43" s="12" t="str">
        <x:v>Table1: Icorr/10^7 A cm^-2 (printed positive exponent)</x:v>
      </x:c>
      <x:c r="AU43" s="12"/>
      <x:c r="AV43" s="12"/>
      <x:c r="AW43" s="12" t="n">
        <x:v>0.004</x:v>
      </x:c>
      <x:c r="AX43" s="12"/>
      <x:c r="AY43" s="12"/>
      <x:c r="AZ43" s="12"/>
      <x:c r="BA43" s="12" t="n">
        <x:v>13</x:v>
      </x:c>
      <x:c r="BB43" s="17" t="b">
        <x:v>0</x:v>
      </x:c>
      <x:c r="BC43" s="17" t="b">
        <x:v>0</x:v>
      </x:c>
      <x:c r="BD43" s="12" t="str">
        <x:v>Nb; V; Ti; Al; Sb; La; Pr; W; Y; La+Ce_합산; 침지시간(min); 주사속도(mV/s); icorr(A/cm2)</x:v>
      </x:c>
      <x:c r="BE43" s="12" t="str">
        <x:v>Do not infer missing minus sign from graph or bibliography. AL intentionally unavailable until correction verified. Different aging states are separate conditions. PREN calculated as Cr+3.3Mo+16N; not a measurement.</x:v>
      </x:c>
    </x:row>
    <x:row r="44" ht="40" customHeight="1">
      <x:c r="A44" s="12" t="n">
        <x:v>41</x:v>
      </x:c>
      <x:c r="B44" s="13" t="str">
        <x:v>S31254-Ce 초오스테나이트계 스테인리스강(20Cr-18Ni-6Mo-0.21N, Ce 0.004%)</x:v>
      </x:c>
      <x:c r="C44" s="13" t="str">
        <x:v>aged_820</x:v>
      </x:c>
      <x:c r="D44" s="14" t="n">
        <x:v>0.012</x:v>
      </x:c>
      <x:c r="E44" s="14" t="n">
        <x:v>0.61</x:v>
      </x:c>
      <x:c r="F44" s="14" t="n">
        <x:v>0.93</x:v>
      </x:c>
      <x:c r="G44" s="14" t="n">
        <x:v>0.01</x:v>
      </x:c>
      <x:c r="H44" s="14" t="n">
        <x:v>0.002</x:v>
      </x:c>
      <x:c r="I44" s="14" t="n">
        <x:v>20.17</x:v>
      </x:c>
      <x:c r="J44" s="14" t="n">
        <x:v>18.15</x:v>
      </x:c>
      <x:c r="K44" s="14" t="n">
        <x:v>6.03</x:v>
      </x:c>
      <x:c r="L44" s="14" t="n">
        <x:v>0.72</x:v>
      </x:c>
      <x:c r="M44" s="14" t="n">
        <x:v>0.212</x:v>
      </x:c>
      <x:c r="N44" s="14"/>
      <x:c r="O44" s="14"/>
      <x:c r="P44" s="14"/>
      <x:c r="Q44" s="14"/>
      <x:c r="R44" s="14"/>
      <x:c r="S44" s="14" t="n">
        <x:v>0.004</x:v>
      </x:c>
      <x:c r="T44" s="14"/>
      <x:c r="U44" s="14"/>
      <x:c r="V44" s="14"/>
      <x:c r="W44" s="14"/>
      <x:c r="X44" s="14"/>
      <x:c r="Y44" s="12" t="str">
        <x:v>Balance</x:v>
      </x:c>
      <x:c r="Z44" s="12" t="n">
        <x:v>43.461000000000006</x:v>
      </x:c>
      <x:c r="AA44" s="15" t="n">
        <x:v>820</x:v>
      </x:c>
      <x:c r="AB44" s="15" t="n">
        <x:v>90</x:v>
      </x:c>
      <x:c r="AC44" s="12" t="str">
        <x:v>water</x:v>
      </x:c>
      <x:c r="AD44" s="12" t="str">
        <x:v>NaCl</x:v>
      </x:c>
      <x:c r="AE44" s="12" t="n">
        <x:v>10</x:v>
      </x:c>
      <x:c r="AF44" s="12"/>
      <x:c r="AG44" s="12"/>
      <x:c r="AH44" s="12" t="n">
        <x:v>25</x:v>
      </x:c>
      <x:c r="AI44" s="12" t="str">
        <x:v>SCE</x:v>
      </x:c>
      <x:c r="AJ44" s="12"/>
      <x:c r="AK44" s="16" t="n">
        <x:v>-0.182</x:v>
      </x:c>
      <x:c r="AL44" s="16"/>
      <x:c r="AM44" s="12" t="str">
        <x:v>WM41_aged_820</x:v>
      </x:c>
      <x:c r="AN44" s="12" t="str">
        <x:v>10.11902/1005.4537.2022.135</x:v>
      </x:c>
      <x:c r="AO44" s="12" t="str">
        <x:v>https://doi.org/10.11902/1005.4537.2022.135</x:v>
      </x:c>
      <x:c r="AP44" s="12" t="str">
        <x:v>Sec1 composition and methods PDF p2; Table1/Fig6 PDF p5</x:v>
      </x:c>
      <x:c r="AQ44" s="12" t="str">
        <x:v>primary_source_transcription</x:v>
      </x:c>
      <x:c r="AR44" s="12" t="str">
        <x:v>quarantined_printed_unit_conflict</x:v>
      </x:c>
      <x:c r="AS44" s="12" t="n">
        <x:v>3.25</x:v>
      </x:c>
      <x:c r="AT44" s="12" t="str">
        <x:v>Table1: Icorr/10^7 A cm^-2 (printed positive exponent)</x:v>
      </x:c>
      <x:c r="AU44" s="12"/>
      <x:c r="AV44" s="12"/>
      <x:c r="AW44" s="12" t="n">
        <x:v>0.004</x:v>
      </x:c>
      <x:c r="AX44" s="12"/>
      <x:c r="AY44" s="12"/>
      <x:c r="AZ44" s="12"/>
      <x:c r="BA44" s="12" t="n">
        <x:v>13</x:v>
      </x:c>
      <x:c r="BB44" s="17" t="b">
        <x:v>0</x:v>
      </x:c>
      <x:c r="BC44" s="17" t="b">
        <x:v>0</x:v>
      </x:c>
      <x:c r="BD44" s="12" t="str">
        <x:v>Nb; V; Ti; Al; Sb; La; Pr; W; Y; La+Ce_합산; 침지시간(min); 주사속도(mV/s); icorr(A/cm2)</x:v>
      </x:c>
      <x:c r="BE44" s="12" t="str">
        <x:v>Do not infer missing minus sign from graph or bibliography. AL intentionally unavailable until correction verified. Different aging states are separate conditions. PREN calculated as Cr+3.3Mo+16N; not a measurement.</x:v>
      </x:c>
    </x:row>
    <x:row r="45" ht="40" customHeight="1">
      <x:c r="A45" s="12" t="n">
        <x:v>41</x:v>
      </x:c>
      <x:c r="B45" s="13" t="str">
        <x:v>S31254-Ce 초오스테나이트계 스테인리스강(20Cr-18Ni-6Mo-0.21N, Ce 0.004%)</x:v>
      </x:c>
      <x:c r="C45" s="13" t="str">
        <x:v>aged_840</x:v>
      </x:c>
      <x:c r="D45" s="14" t="n">
        <x:v>0.012</x:v>
      </x:c>
      <x:c r="E45" s="14" t="n">
        <x:v>0.61</x:v>
      </x:c>
      <x:c r="F45" s="14" t="n">
        <x:v>0.93</x:v>
      </x:c>
      <x:c r="G45" s="14" t="n">
        <x:v>0.01</x:v>
      </x:c>
      <x:c r="H45" s="14" t="n">
        <x:v>0.002</x:v>
      </x:c>
      <x:c r="I45" s="14" t="n">
        <x:v>20.17</x:v>
      </x:c>
      <x:c r="J45" s="14" t="n">
        <x:v>18.15</x:v>
      </x:c>
      <x:c r="K45" s="14" t="n">
        <x:v>6.03</x:v>
      </x:c>
      <x:c r="L45" s="14" t="n">
        <x:v>0.72</x:v>
      </x:c>
      <x:c r="M45" s="14" t="n">
        <x:v>0.212</x:v>
      </x:c>
      <x:c r="N45" s="14"/>
      <x:c r="O45" s="14"/>
      <x:c r="P45" s="14"/>
      <x:c r="Q45" s="14"/>
      <x:c r="R45" s="14"/>
      <x:c r="S45" s="14" t="n">
        <x:v>0.004</x:v>
      </x:c>
      <x:c r="T45" s="14"/>
      <x:c r="U45" s="14"/>
      <x:c r="V45" s="14"/>
      <x:c r="W45" s="14"/>
      <x:c r="X45" s="14"/>
      <x:c r="Y45" s="12" t="str">
        <x:v>Balance</x:v>
      </x:c>
      <x:c r="Z45" s="12" t="n">
        <x:v>43.461000000000006</x:v>
      </x:c>
      <x:c r="AA45" s="15" t="n">
        <x:v>840</x:v>
      </x:c>
      <x:c r="AB45" s="15" t="n">
        <x:v>90</x:v>
      </x:c>
      <x:c r="AC45" s="12" t="str">
        <x:v>water</x:v>
      </x:c>
      <x:c r="AD45" s="12" t="str">
        <x:v>NaCl</x:v>
      </x:c>
      <x:c r="AE45" s="12" t="n">
        <x:v>10</x:v>
      </x:c>
      <x:c r="AF45" s="12"/>
      <x:c r="AG45" s="12"/>
      <x:c r="AH45" s="12" t="n">
        <x:v>25</x:v>
      </x:c>
      <x:c r="AI45" s="12" t="str">
        <x:v>SCE</x:v>
      </x:c>
      <x:c r="AJ45" s="12"/>
      <x:c r="AK45" s="16" t="n">
        <x:v>-0.249</x:v>
      </x:c>
      <x:c r="AL45" s="16"/>
      <x:c r="AM45" s="12" t="str">
        <x:v>WM41_aged_840</x:v>
      </x:c>
      <x:c r="AN45" s="12" t="str">
        <x:v>10.11902/1005.4537.2022.135</x:v>
      </x:c>
      <x:c r="AO45" s="12" t="str">
        <x:v>https://doi.org/10.11902/1005.4537.2022.135</x:v>
      </x:c>
      <x:c r="AP45" s="12" t="str">
        <x:v>Sec1 composition and methods PDF p2; Table1/Fig6 PDF p5</x:v>
      </x:c>
      <x:c r="AQ45" s="12" t="str">
        <x:v>primary_source_transcription</x:v>
      </x:c>
      <x:c r="AR45" s="12" t="str">
        <x:v>quarantined_printed_unit_conflict</x:v>
      </x:c>
      <x:c r="AS45" s="12" t="n">
        <x:v>5.06</x:v>
      </x:c>
      <x:c r="AT45" s="12" t="str">
        <x:v>Table1: Icorr/10^7 A cm^-2 (printed positive exponent)</x:v>
      </x:c>
      <x:c r="AU45" s="12"/>
      <x:c r="AV45" s="12"/>
      <x:c r="AW45" s="12" t="n">
        <x:v>0.004</x:v>
      </x:c>
      <x:c r="AX45" s="12"/>
      <x:c r="AY45" s="12"/>
      <x:c r="AZ45" s="12"/>
      <x:c r="BA45" s="12" t="n">
        <x:v>13</x:v>
      </x:c>
      <x:c r="BB45" s="17" t="b">
        <x:v>0</x:v>
      </x:c>
      <x:c r="BC45" s="17" t="b">
        <x:v>0</x:v>
      </x:c>
      <x:c r="BD45" s="12" t="str">
        <x:v>Nb; V; Ti; Al; Sb; La; Pr; W; Y; La+Ce_합산; 침지시간(min); 주사속도(mV/s); icorr(A/cm2)</x:v>
      </x:c>
      <x:c r="BE45" s="12" t="str">
        <x:v>Do not infer missing minus sign from graph or bibliography. AL intentionally unavailable until correction verified. Different aging states are separate conditions. PREN calculated as Cr+3.3Mo+16N; not a measurement.</x:v>
      </x:c>
    </x:row>
    <x:row r="46" ht="40" customHeight="1">
      <x:c r="A46" s="12" t="n">
        <x:v>41</x:v>
      </x:c>
      <x:c r="B46" s="13" t="str">
        <x:v>S31254-Ce 초오스테나이트계 스테인리스강(20Cr-18Ni-6Mo-0.21N, Ce 0.004%)</x:v>
      </x:c>
      <x:c r="C46" s="13" t="str">
        <x:v>aged_860</x:v>
      </x:c>
      <x:c r="D46" s="14" t="n">
        <x:v>0.012</x:v>
      </x:c>
      <x:c r="E46" s="14" t="n">
        <x:v>0.61</x:v>
      </x:c>
      <x:c r="F46" s="14" t="n">
        <x:v>0.93</x:v>
      </x:c>
      <x:c r="G46" s="14" t="n">
        <x:v>0.01</x:v>
      </x:c>
      <x:c r="H46" s="14" t="n">
        <x:v>0.002</x:v>
      </x:c>
      <x:c r="I46" s="14" t="n">
        <x:v>20.17</x:v>
      </x:c>
      <x:c r="J46" s="14" t="n">
        <x:v>18.15</x:v>
      </x:c>
      <x:c r="K46" s="14" t="n">
        <x:v>6.03</x:v>
      </x:c>
      <x:c r="L46" s="14" t="n">
        <x:v>0.72</x:v>
      </x:c>
      <x:c r="M46" s="14" t="n">
        <x:v>0.212</x:v>
      </x:c>
      <x:c r="N46" s="14"/>
      <x:c r="O46" s="14"/>
      <x:c r="P46" s="14"/>
      <x:c r="Q46" s="14"/>
      <x:c r="R46" s="14"/>
      <x:c r="S46" s="14" t="n">
        <x:v>0.004</x:v>
      </x:c>
      <x:c r="T46" s="14"/>
      <x:c r="U46" s="14"/>
      <x:c r="V46" s="14"/>
      <x:c r="W46" s="14"/>
      <x:c r="X46" s="14"/>
      <x:c r="Y46" s="12" t="str">
        <x:v>Balance</x:v>
      </x:c>
      <x:c r="Z46" s="12" t="n">
        <x:v>43.461000000000006</x:v>
      </x:c>
      <x:c r="AA46" s="15" t="n">
        <x:v>860</x:v>
      </x:c>
      <x:c r="AB46" s="15" t="n">
        <x:v>90</x:v>
      </x:c>
      <x:c r="AC46" s="12" t="str">
        <x:v>water</x:v>
      </x:c>
      <x:c r="AD46" s="12" t="str">
        <x:v>NaCl</x:v>
      </x:c>
      <x:c r="AE46" s="12" t="n">
        <x:v>10</x:v>
      </x:c>
      <x:c r="AF46" s="12"/>
      <x:c r="AG46" s="12"/>
      <x:c r="AH46" s="12" t="n">
        <x:v>25</x:v>
      </x:c>
      <x:c r="AI46" s="12" t="str">
        <x:v>SCE</x:v>
      </x:c>
      <x:c r="AJ46" s="12"/>
      <x:c r="AK46" s="16" t="n">
        <x:v>-0.373</x:v>
      </x:c>
      <x:c r="AL46" s="16"/>
      <x:c r="AM46" s="12" t="str">
        <x:v>WM41_aged_860</x:v>
      </x:c>
      <x:c r="AN46" s="12" t="str">
        <x:v>10.11902/1005.4537.2022.135</x:v>
      </x:c>
      <x:c r="AO46" s="12" t="str">
        <x:v>https://doi.org/10.11902/1005.4537.2022.135</x:v>
      </x:c>
      <x:c r="AP46" s="12" t="str">
        <x:v>Sec1 composition and methods PDF p2; Table1/Fig6 PDF p5</x:v>
      </x:c>
      <x:c r="AQ46" s="12" t="str">
        <x:v>primary_source_transcription</x:v>
      </x:c>
      <x:c r="AR46" s="12" t="str">
        <x:v>quarantined_printed_unit_conflict</x:v>
      </x:c>
      <x:c r="AS46" s="12" t="n">
        <x:v>9.39</x:v>
      </x:c>
      <x:c r="AT46" s="12" t="str">
        <x:v>Table1: Icorr/10^7 A cm^-2 (printed positive exponent)</x:v>
      </x:c>
      <x:c r="AU46" s="12"/>
      <x:c r="AV46" s="12"/>
      <x:c r="AW46" s="12" t="n">
        <x:v>0.004</x:v>
      </x:c>
      <x:c r="AX46" s="12"/>
      <x:c r="AY46" s="12"/>
      <x:c r="AZ46" s="12"/>
      <x:c r="BA46" s="12" t="n">
        <x:v>13</x:v>
      </x:c>
      <x:c r="BB46" s="17" t="b">
        <x:v>0</x:v>
      </x:c>
      <x:c r="BC46" s="17" t="b">
        <x:v>0</x:v>
      </x:c>
      <x:c r="BD46" s="12" t="str">
        <x:v>Nb; V; Ti; Al; Sb; La; Pr; W; Y; La+Ce_합산; 침지시간(min); 주사속도(mV/s); icorr(A/cm2)</x:v>
      </x:c>
      <x:c r="BE46" s="12" t="str">
        <x:v>Do not infer missing minus sign from graph or bibliography. AL intentionally unavailable until correction verified. Different aging states are separate conditions. PREN calculated as Cr+3.3Mo+16N; not a measurement.</x:v>
      </x:c>
    </x:row>
    <x:row r="47" ht="40" customHeight="1">
      <x:c r="A47" s="12" t="n">
        <x:v>41</x:v>
      </x:c>
      <x:c r="B47" s="13" t="str">
        <x:v>S31254-Ce 초오스테나이트계 스테인리스강(20Cr-18Ni-6Mo-0.21N, Ce 0.004%)</x:v>
      </x:c>
      <x:c r="C47" s="13" t="str">
        <x:v>aged_880</x:v>
      </x:c>
      <x:c r="D47" s="14" t="n">
        <x:v>0.012</x:v>
      </x:c>
      <x:c r="E47" s="14" t="n">
        <x:v>0.61</x:v>
      </x:c>
      <x:c r="F47" s="14" t="n">
        <x:v>0.93</x:v>
      </x:c>
      <x:c r="G47" s="14" t="n">
        <x:v>0.01</x:v>
      </x:c>
      <x:c r="H47" s="14" t="n">
        <x:v>0.002</x:v>
      </x:c>
      <x:c r="I47" s="14" t="n">
        <x:v>20.17</x:v>
      </x:c>
      <x:c r="J47" s="14" t="n">
        <x:v>18.15</x:v>
      </x:c>
      <x:c r="K47" s="14" t="n">
        <x:v>6.03</x:v>
      </x:c>
      <x:c r="L47" s="14" t="n">
        <x:v>0.72</x:v>
      </x:c>
      <x:c r="M47" s="14" t="n">
        <x:v>0.212</x:v>
      </x:c>
      <x:c r="N47" s="14"/>
      <x:c r="O47" s="14"/>
      <x:c r="P47" s="14"/>
      <x:c r="Q47" s="14"/>
      <x:c r="R47" s="14"/>
      <x:c r="S47" s="14" t="n">
        <x:v>0.004</x:v>
      </x:c>
      <x:c r="T47" s="14"/>
      <x:c r="U47" s="14"/>
      <x:c r="V47" s="14"/>
      <x:c r="W47" s="14"/>
      <x:c r="X47" s="14"/>
      <x:c r="Y47" s="12" t="str">
        <x:v>Balance</x:v>
      </x:c>
      <x:c r="Z47" s="12" t="n">
        <x:v>43.461000000000006</x:v>
      </x:c>
      <x:c r="AA47" s="15" t="n">
        <x:v>880</x:v>
      </x:c>
      <x:c r="AB47" s="15" t="n">
        <x:v>90</x:v>
      </x:c>
      <x:c r="AC47" s="12" t="str">
        <x:v>water</x:v>
      </x:c>
      <x:c r="AD47" s="12" t="str">
        <x:v>NaCl</x:v>
      </x:c>
      <x:c r="AE47" s="12" t="n">
        <x:v>10</x:v>
      </x:c>
      <x:c r="AF47" s="12"/>
      <x:c r="AG47" s="12"/>
      <x:c r="AH47" s="12" t="n">
        <x:v>25</x:v>
      </x:c>
      <x:c r="AI47" s="12" t="str">
        <x:v>SCE</x:v>
      </x:c>
      <x:c r="AJ47" s="12"/>
      <x:c r="AK47" s="16" t="n">
        <x:v>-0.463</x:v>
      </x:c>
      <x:c r="AL47" s="16"/>
      <x:c r="AM47" s="12" t="str">
        <x:v>WM41_aged_880</x:v>
      </x:c>
      <x:c r="AN47" s="12" t="str">
        <x:v>10.11902/1005.4537.2022.135</x:v>
      </x:c>
      <x:c r="AO47" s="12" t="str">
        <x:v>https://doi.org/10.11902/1005.4537.2022.135</x:v>
      </x:c>
      <x:c r="AP47" s="12" t="str">
        <x:v>Sec1 composition and methods PDF p2; Table1/Fig6 PDF p5</x:v>
      </x:c>
      <x:c r="AQ47" s="12" t="str">
        <x:v>primary_source_transcription</x:v>
      </x:c>
      <x:c r="AR47" s="12" t="str">
        <x:v>quarantined_printed_unit_conflict</x:v>
      </x:c>
      <x:c r="AS47" s="12" t="n">
        <x:v>12.42</x:v>
      </x:c>
      <x:c r="AT47" s="12" t="str">
        <x:v>Table1: Icorr/10^7 A cm^-2 (printed positive exponent)</x:v>
      </x:c>
      <x:c r="AU47" s="12"/>
      <x:c r="AV47" s="12"/>
      <x:c r="AW47" s="12" t="n">
        <x:v>0.004</x:v>
      </x:c>
      <x:c r="AX47" s="12"/>
      <x:c r="AY47" s="12"/>
      <x:c r="AZ47" s="12"/>
      <x:c r="BA47" s="12" t="n">
        <x:v>13</x:v>
      </x:c>
      <x:c r="BB47" s="17" t="b">
        <x:v>0</x:v>
      </x:c>
      <x:c r="BC47" s="17" t="b">
        <x:v>0</x:v>
      </x:c>
      <x:c r="BD47" s="12" t="str">
        <x:v>Nb; V; Ti; Al; Sb; La; Pr; W; Y; La+Ce_합산; 침지시간(min); 주사속도(mV/s); icorr(A/cm2)</x:v>
      </x:c>
      <x:c r="BE47" s="12" t="str">
        <x:v>Do not infer missing minus sign from graph or bibliography. AL intentionally unavailable until correction verified. Different aging states are separate conditions. PREN calculated as Cr+3.3Mo+16N; not a measurement.</x:v>
      </x:c>
    </x:row>
    <x:row r="48" ht="40" customHeight="1">
      <x:c r="A48" s="12" t="n">
        <x:v>41</x:v>
      </x:c>
      <x:c r="B48" s="13" t="str">
        <x:v>S31254-Ce 초오스테나이트계 스테인리스강(20Cr-18Ni-6Mo-0.21N, Ce 0.004%)</x:v>
      </x:c>
      <x:c r="C48" s="13" t="str">
        <x:v>aged_900</x:v>
      </x:c>
      <x:c r="D48" s="14" t="n">
        <x:v>0.012</x:v>
      </x:c>
      <x:c r="E48" s="14" t="n">
        <x:v>0.61</x:v>
      </x:c>
      <x:c r="F48" s="14" t="n">
        <x:v>0.93</x:v>
      </x:c>
      <x:c r="G48" s="14" t="n">
        <x:v>0.01</x:v>
      </x:c>
      <x:c r="H48" s="14" t="n">
        <x:v>0.002</x:v>
      </x:c>
      <x:c r="I48" s="14" t="n">
        <x:v>20.17</x:v>
      </x:c>
      <x:c r="J48" s="14" t="n">
        <x:v>18.15</x:v>
      </x:c>
      <x:c r="K48" s="14" t="n">
        <x:v>6.03</x:v>
      </x:c>
      <x:c r="L48" s="14" t="n">
        <x:v>0.72</x:v>
      </x:c>
      <x:c r="M48" s="14" t="n">
        <x:v>0.212</x:v>
      </x:c>
      <x:c r="N48" s="14"/>
      <x:c r="O48" s="14"/>
      <x:c r="P48" s="14"/>
      <x:c r="Q48" s="14"/>
      <x:c r="R48" s="14"/>
      <x:c r="S48" s="14" t="n">
        <x:v>0.004</x:v>
      </x:c>
      <x:c r="T48" s="14"/>
      <x:c r="U48" s="14"/>
      <x:c r="V48" s="14"/>
      <x:c r="W48" s="14"/>
      <x:c r="X48" s="14"/>
      <x:c r="Y48" s="12" t="str">
        <x:v>Balance</x:v>
      </x:c>
      <x:c r="Z48" s="12" t="n">
        <x:v>43.461000000000006</x:v>
      </x:c>
      <x:c r="AA48" s="15" t="n">
        <x:v>900</x:v>
      </x:c>
      <x:c r="AB48" s="15" t="n">
        <x:v>90</x:v>
      </x:c>
      <x:c r="AC48" s="12" t="str">
        <x:v>water</x:v>
      </x:c>
      <x:c r="AD48" s="12" t="str">
        <x:v>NaCl</x:v>
      </x:c>
      <x:c r="AE48" s="12" t="n">
        <x:v>10</x:v>
      </x:c>
      <x:c r="AF48" s="12"/>
      <x:c r="AG48" s="12"/>
      <x:c r="AH48" s="12" t="n">
        <x:v>25</x:v>
      </x:c>
      <x:c r="AI48" s="12" t="str">
        <x:v>SCE</x:v>
      </x:c>
      <x:c r="AJ48" s="12"/>
      <x:c r="AK48" s="16" t="n">
        <x:v>-0.534</x:v>
      </x:c>
      <x:c r="AL48" s="16"/>
      <x:c r="AM48" s="12" t="str">
        <x:v>WM41_aged_900</x:v>
      </x:c>
      <x:c r="AN48" s="12" t="str">
        <x:v>10.11902/1005.4537.2022.135</x:v>
      </x:c>
      <x:c r="AO48" s="12" t="str">
        <x:v>https://doi.org/10.11902/1005.4537.2022.135</x:v>
      </x:c>
      <x:c r="AP48" s="12" t="str">
        <x:v>Sec1 composition and methods PDF p2; Table1/Fig6 PDF p5</x:v>
      </x:c>
      <x:c r="AQ48" s="12" t="str">
        <x:v>primary_source_transcription</x:v>
      </x:c>
      <x:c r="AR48" s="12" t="str">
        <x:v>quarantined_printed_unit_conflict</x:v>
      </x:c>
      <x:c r="AS48" s="12" t="n">
        <x:v>13.18</x:v>
      </x:c>
      <x:c r="AT48" s="12" t="str">
        <x:v>Table1: Icorr/10^7 A cm^-2 (printed positive exponent)</x:v>
      </x:c>
      <x:c r="AU48" s="12"/>
      <x:c r="AV48" s="12"/>
      <x:c r="AW48" s="12" t="n">
        <x:v>0.004</x:v>
      </x:c>
      <x:c r="AX48" s="12"/>
      <x:c r="AY48" s="12"/>
      <x:c r="AZ48" s="12"/>
      <x:c r="BA48" s="12" t="n">
        <x:v>13</x:v>
      </x:c>
      <x:c r="BB48" s="17" t="b">
        <x:v>0</x:v>
      </x:c>
      <x:c r="BC48" s="17" t="b">
        <x:v>0</x:v>
      </x:c>
      <x:c r="BD48" s="12" t="str">
        <x:v>Nb; V; Ti; Al; Sb; La; Pr; W; Y; La+Ce_합산; 침지시간(min); 주사속도(mV/s); icorr(A/cm2)</x:v>
      </x:c>
      <x:c r="BE48" s="12" t="str">
        <x:v>Do not infer missing minus sign from graph or bibliography. AL intentionally unavailable until correction verified. Different aging states are separate conditions. PREN calculated as Cr+3.3Mo+16N; not a measurement.</x:v>
      </x:c>
    </x:row>
    <x:row r="49" ht="40" customHeight="1">
      <x:c r="A49" s="12" t="n">
        <x:v>31</x:v>
      </x:c>
      <x:c r="B49" s="13" t="str">
        <x:v>12Cr ODS 페라이트강(Fe-12Cr-2W-0.5Zr-0.3Y2O3) vs X46Cr13 마르텐사이트강</x:v>
      </x:c>
      <x:c r="C49" s="13" t="str">
        <x:v>12Cr ODS_1_HNO3</x:v>
      </x:c>
      <x:c r="D49" s="14" t="n">
        <x:v>0.11</x:v>
      </x:c>
      <x:c r="E49" s="14" t="n">
        <x:v>0.02</x:v>
      </x:c>
      <x:c r="F49" s="14" t="n">
        <x:v>0.1</x:v>
      </x:c>
      <x:c r="G49" s="14"/>
      <x:c r="H49" s="14"/>
      <x:c r="I49" s="14" t="n">
        <x:v>12.58</x:v>
      </x:c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 t="n">
        <x:v>1.49</x:v>
      </x:c>
      <x:c r="W49" s="14"/>
      <x:c r="X49" s="14"/>
      <x:c r="Y49" s="12" t="str">
        <x:v>Balance</x:v>
      </x:c>
      <x:c r="Z49" s="12"/>
      <x:c r="AA49" s="15"/>
      <x:c r="AB49" s="15"/>
      <x:c r="AC49" s="12"/>
      <x:c r="AD49" s="12" t="str">
        <x:v>HNO3</x:v>
      </x:c>
      <x:c r="AE49" s="12"/>
      <x:c r="AF49" s="12" t="n">
        <x:v>120</x:v>
      </x:c>
      <x:c r="AG49" s="12"/>
      <x:c r="AH49" s="12" t="n">
        <x:v>20</x:v>
      </x:c>
      <x:c r="AI49" s="12" t="str">
        <x:v>SCE</x:v>
      </x:c>
      <x:c r="AJ49" s="12" t="n">
        <x:v>3</x:v>
      </x:c>
      <x:c r="AK49" s="16" t="n">
        <x:v>-0.133</x:v>
      </x:c>
      <x:c r="AL49" s="16" t="n">
        <x:v>0.0000016999999999999998</x:v>
      </x:c>
      <x:c r="AM49" s="12" t="str">
        <x:v>WM31_12Cr ODS_1_HNO3</x:v>
      </x:c>
      <x:c r="AN49" s="12" t="str">
        <x:v>10.3390/ma17143466</x:v>
      </x:c>
      <x:c r="AO49" s="12" t="str">
        <x:v>https://doi.org/10.3390/ma17143466</x:v>
      </x:c>
      <x:c r="AP49" s="12" t="str">
        <x:v>Table1 PDF p4; PDP methods pp4-5; Table3 p14/Table4 p15</x:v>
      </x:c>
      <x:c r="AQ49" s="12" t="str">
        <x:v>primary_source_transcription</x:v>
      </x:c>
      <x:c r="AR49" s="12" t="str">
        <x:v>reported_numeric</x:v>
      </x:c>
      <x:c r="AS49" s="12" t="n">
        <x:v>1.7</x:v>
      </x:c>
      <x:c r="AT49" s="12" t="str">
        <x:v>uA/cm2</x:v>
      </x:c>
      <x:c r="AU49" s="12" t="str">
        <x:v>1 mol/L HNO3</x:v>
      </x:c>
      <x:c r="AV49" s="12"/>
      <x:c r="AW49" s="12"/>
      <x:c r="AX49" s="12"/>
      <x:c r="AY49" s="12"/>
      <x:c r="AZ49" s="12"/>
      <x:c r="BA49" s="12" t="n">
        <x:v>21</x:v>
      </x:c>
      <x:c r="BB49" s="17" t="b">
        <x:v>0</x:v>
      </x:c>
      <x:c r="BC49" s="17" t="b">
        <x:v>0</x:v>
      </x:c>
      <x:c r="BD49" s="12" t="str">
        <x:v>P; S; Ni; Mo; Cu; T.N.(Total Nitrogen); Nb; V; Ti; Al; Sb; Ce; La; Pr; Y; La+Ce_합산; PREN; 열처리 온도(°C); Time(min); 냉각방식; 전해질 농도(wt%)</x:v>
      </x:c>
      <x:c r="BE49" s="12" t="str">
        <x:v>P/S unreported; Y2O3 powder addition is not measured elemental Y. Nominal ODS recipe and measured OES chemistry differ. Comparator is different material. AF explicit 2h OCP soaking.</x:v>
      </x:c>
    </x:row>
    <x:row r="50" ht="40" customHeight="1">
      <x:c r="A50" s="12" t="n">
        <x:v>31</x:v>
      </x:c>
      <x:c r="B50" s="13" t="str">
        <x:v>12Cr ODS 페라이트강(Fe-12Cr-2W-0.5Zr-0.3Y2O3) vs X46Cr13 마르텐사이트강</x:v>
      </x:c>
      <x:c r="C50" s="13" t="str">
        <x:v>X46Cr13_1_HNO3</x:v>
      </x:c>
      <x:c r="D50" s="14" t="n">
        <x:v>0.46</x:v>
      </x:c>
      <x:c r="E50" s="14" t="n">
        <x:v>0.29</x:v>
      </x:c>
      <x:c r="F50" s="14" t="n">
        <x:v>0.54</x:v>
      </x:c>
      <x:c r="G50" s="14"/>
      <x:c r="H50" s="14"/>
      <x:c r="I50" s="14" t="n">
        <x:v>13.53</x:v>
      </x:c>
      <x:c r="J50" s="14" t="n">
        <x:v>0.19</x:v>
      </x:c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2" t="str">
        <x:v>Balance</x:v>
      </x:c>
      <x:c r="Z50" s="12"/>
      <x:c r="AA50" s="15"/>
      <x:c r="AB50" s="15"/>
      <x:c r="AC50" s="12"/>
      <x:c r="AD50" s="12" t="str">
        <x:v>HNO3</x:v>
      </x:c>
      <x:c r="AE50" s="12"/>
      <x:c r="AF50" s="12" t="n">
        <x:v>120</x:v>
      </x:c>
      <x:c r="AG50" s="12"/>
      <x:c r="AH50" s="12" t="n">
        <x:v>20</x:v>
      </x:c>
      <x:c r="AI50" s="12" t="str">
        <x:v>SCE</x:v>
      </x:c>
      <x:c r="AJ50" s="12" t="n">
        <x:v>3</x:v>
      </x:c>
      <x:c r="AK50" s="16" t="n">
        <x:v>-0.1715</x:v>
      </x:c>
      <x:c r="AL50" s="16" t="n">
        <x:v>0.0004298</x:v>
      </x:c>
      <x:c r="AM50" s="12" t="str">
        <x:v>WM31_X46Cr13_1_HNO3</x:v>
      </x:c>
      <x:c r="AN50" s="12" t="str">
        <x:v>10.3390/ma17143466</x:v>
      </x:c>
      <x:c r="AO50" s="12" t="str">
        <x:v>https://doi.org/10.3390/ma17143466</x:v>
      </x:c>
      <x:c r="AP50" s="12" t="str">
        <x:v>Table1 PDF p4; PDP methods pp4-5; Table3 p14/Table4 p15</x:v>
      </x:c>
      <x:c r="AQ50" s="12" t="str">
        <x:v>primary_source_transcription</x:v>
      </x:c>
      <x:c r="AR50" s="12" t="str">
        <x:v>reported_numeric</x:v>
      </x:c>
      <x:c r="AS50" s="12" t="n">
        <x:v>429.8</x:v>
      </x:c>
      <x:c r="AT50" s="12" t="str">
        <x:v>uA/cm2</x:v>
      </x:c>
      <x:c r="AU50" s="12" t="str">
        <x:v>1 mol/L HNO3</x:v>
      </x:c>
      <x:c r="AV50" s="12"/>
      <x:c r="AW50" s="12"/>
      <x:c r="AX50" s="12"/>
      <x:c r="AY50" s="12"/>
      <x:c r="AZ50" s="12"/>
      <x:c r="BA50" s="12" t="n">
        <x:v>21</x:v>
      </x:c>
      <x:c r="BB50" s="17" t="b">
        <x:v>0</x:v>
      </x:c>
      <x:c r="BC50" s="17" t="b">
        <x:v>0</x:v>
      </x:c>
      <x:c r="BD50" s="12" t="str">
        <x:v>P; S; Mo; Cu; T.N.(Total Nitrogen); Nb; V; Ti; Al; Sb; Ce; La; Pr; W; Y; La+Ce_합산; PREN; 열처리 온도(°C); Time(min); 냉각방식; 전해질 농도(wt%)</x:v>
      </x:c>
      <x:c r="BE50" s="12" t="str">
        <x:v>P/S unreported; Y2O3 powder addition is not measured elemental Y. Nominal ODS recipe and measured OES chemistry differ. Comparator is different material. AF explicit 2h OCP soaking.</x:v>
      </x:c>
    </x:row>
    <x:row r="51" ht="40" customHeight="1">
      <x:c r="A51" s="12" t="n">
        <x:v>31</x:v>
      </x:c>
      <x:c r="B51" s="13" t="str">
        <x:v>12Cr ODS 페라이트강(Fe-12Cr-2W-0.5Zr-0.3Y2O3) vs X46Cr13 마르텐사이트강</x:v>
      </x:c>
      <x:c r="C51" s="13" t="str">
        <x:v>12Cr ODS_4_HNO3</x:v>
      </x:c>
      <x:c r="D51" s="14" t="n">
        <x:v>0.11</x:v>
      </x:c>
      <x:c r="E51" s="14" t="n">
        <x:v>0.02</x:v>
      </x:c>
      <x:c r="F51" s="14" t="n">
        <x:v>0.1</x:v>
      </x:c>
      <x:c r="G51" s="14"/>
      <x:c r="H51" s="14"/>
      <x:c r="I51" s="14" t="n">
        <x:v>12.58</x:v>
      </x:c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 t="n">
        <x:v>1.49</x:v>
      </x:c>
      <x:c r="W51" s="14"/>
      <x:c r="X51" s="14"/>
      <x:c r="Y51" s="12" t="str">
        <x:v>Balance</x:v>
      </x:c>
      <x:c r="Z51" s="12"/>
      <x:c r="AA51" s="15"/>
      <x:c r="AB51" s="15"/>
      <x:c r="AC51" s="12"/>
      <x:c r="AD51" s="12" t="str">
        <x:v>HNO3</x:v>
      </x:c>
      <x:c r="AE51" s="12"/>
      <x:c r="AF51" s="12" t="n">
        <x:v>120</x:v>
      </x:c>
      <x:c r="AG51" s="12"/>
      <x:c r="AH51" s="12" t="n">
        <x:v>20</x:v>
      </x:c>
      <x:c r="AI51" s="12" t="str">
        <x:v>SCE</x:v>
      </x:c>
      <x:c r="AJ51" s="12" t="n">
        <x:v>3</x:v>
      </x:c>
      <x:c r="AK51" s="16" t="n">
        <x:v>0.2016</x:v>
      </x:c>
      <x:c r="AL51" s="16" t="n">
        <x:v>0.00000628</x:v>
      </x:c>
      <x:c r="AM51" s="12" t="str">
        <x:v>WM31_12Cr ODS_4_HNO3</x:v>
      </x:c>
      <x:c r="AN51" s="12" t="str">
        <x:v>10.3390/ma17143466</x:v>
      </x:c>
      <x:c r="AO51" s="12" t="str">
        <x:v>https://doi.org/10.3390/ma17143466</x:v>
      </x:c>
      <x:c r="AP51" s="12" t="str">
        <x:v>Table1 PDF p4; PDP methods pp4-5; Table3 p14/Table4 p15</x:v>
      </x:c>
      <x:c r="AQ51" s="12" t="str">
        <x:v>primary_source_transcription</x:v>
      </x:c>
      <x:c r="AR51" s="12" t="str">
        <x:v>reported_numeric</x:v>
      </x:c>
      <x:c r="AS51" s="12" t="n">
        <x:v>6.28</x:v>
      </x:c>
      <x:c r="AT51" s="12" t="str">
        <x:v>uA/cm2</x:v>
      </x:c>
      <x:c r="AU51" s="12" t="str">
        <x:v>4 mol/L HNO3</x:v>
      </x:c>
      <x:c r="AV51" s="12"/>
      <x:c r="AW51" s="12"/>
      <x:c r="AX51" s="12"/>
      <x:c r="AY51" s="12"/>
      <x:c r="AZ51" s="12"/>
      <x:c r="BA51" s="12" t="n">
        <x:v>21</x:v>
      </x:c>
      <x:c r="BB51" s="17" t="b">
        <x:v>0</x:v>
      </x:c>
      <x:c r="BC51" s="17" t="b">
        <x:v>0</x:v>
      </x:c>
      <x:c r="BD51" s="12" t="str">
        <x:v>P; S; Ni; Mo; Cu; T.N.(Total Nitrogen); Nb; V; Ti; Al; Sb; Ce; La; Pr; Y; La+Ce_합산; PREN; 열처리 온도(°C); Time(min); 냉각방식; 전해질 농도(wt%)</x:v>
      </x:c>
      <x:c r="BE51" s="12" t="str">
        <x:v>P/S unreported; Y2O3 powder addition is not measured elemental Y. Nominal ODS recipe and measured OES chemistry differ. Comparator is different material. AF explicit 2h OCP soaking.</x:v>
      </x:c>
    </x:row>
    <x:row r="52" ht="40" customHeight="1">
      <x:c r="A52" s="12" t="n">
        <x:v>31</x:v>
      </x:c>
      <x:c r="B52" s="13" t="str">
        <x:v>12Cr ODS 페라이트강(Fe-12Cr-2W-0.5Zr-0.3Y2O3) vs X46Cr13 마르텐사이트강</x:v>
      </x:c>
      <x:c r="C52" s="13" t="str">
        <x:v>X46Cr13_4_HNO3</x:v>
      </x:c>
      <x:c r="D52" s="14" t="n">
        <x:v>0.46</x:v>
      </x:c>
      <x:c r="E52" s="14" t="n">
        <x:v>0.29</x:v>
      </x:c>
      <x:c r="F52" s="14" t="n">
        <x:v>0.54</x:v>
      </x:c>
      <x:c r="G52" s="14"/>
      <x:c r="H52" s="14"/>
      <x:c r="I52" s="14" t="n">
        <x:v>13.53</x:v>
      </x:c>
      <x:c r="J52" s="14" t="n">
        <x:v>0.19</x:v>
      </x:c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2" t="str">
        <x:v>Balance</x:v>
      </x:c>
      <x:c r="Z52" s="12"/>
      <x:c r="AA52" s="15"/>
      <x:c r="AB52" s="15"/>
      <x:c r="AC52" s="12"/>
      <x:c r="AD52" s="12" t="str">
        <x:v>HNO3</x:v>
      </x:c>
      <x:c r="AE52" s="12"/>
      <x:c r="AF52" s="12" t="n">
        <x:v>120</x:v>
      </x:c>
      <x:c r="AG52" s="12"/>
      <x:c r="AH52" s="12" t="n">
        <x:v>20</x:v>
      </x:c>
      <x:c r="AI52" s="12" t="str">
        <x:v>SCE</x:v>
      </x:c>
      <x:c r="AJ52" s="12" t="n">
        <x:v>3</x:v>
      </x:c>
      <x:c r="AK52" s="16" t="n">
        <x:v>0.2272</x:v>
      </x:c>
      <x:c r="AL52" s="16" t="n">
        <x:v>0.00000196</x:v>
      </x:c>
      <x:c r="AM52" s="12" t="str">
        <x:v>WM31_X46Cr13_4_HNO3</x:v>
      </x:c>
      <x:c r="AN52" s="12" t="str">
        <x:v>10.3390/ma17143466</x:v>
      </x:c>
      <x:c r="AO52" s="12" t="str">
        <x:v>https://doi.org/10.3390/ma17143466</x:v>
      </x:c>
      <x:c r="AP52" s="12" t="str">
        <x:v>Table1 PDF p4; PDP methods pp4-5; Table3 p14/Table4 p15</x:v>
      </x:c>
      <x:c r="AQ52" s="12" t="str">
        <x:v>primary_source_transcription</x:v>
      </x:c>
      <x:c r="AR52" s="12" t="str">
        <x:v>reported_numeric</x:v>
      </x:c>
      <x:c r="AS52" s="12" t="n">
        <x:v>1.96</x:v>
      </x:c>
      <x:c r="AT52" s="12" t="str">
        <x:v>uA/cm2</x:v>
      </x:c>
      <x:c r="AU52" s="12" t="str">
        <x:v>4 mol/L HNO3</x:v>
      </x:c>
      <x:c r="AV52" s="12"/>
      <x:c r="AW52" s="12"/>
      <x:c r="AX52" s="12"/>
      <x:c r="AY52" s="12"/>
      <x:c r="AZ52" s="12"/>
      <x:c r="BA52" s="12" t="n">
        <x:v>21</x:v>
      </x:c>
      <x:c r="BB52" s="17" t="b">
        <x:v>0</x:v>
      </x:c>
      <x:c r="BC52" s="17" t="b">
        <x:v>0</x:v>
      </x:c>
      <x:c r="BD52" s="12" t="str">
        <x:v>P; S; Mo; Cu; T.N.(Total Nitrogen); Nb; V; Ti; Al; Sb; Ce; La; Pr; W; Y; La+Ce_합산; PREN; 열처리 온도(°C); Time(min); 냉각방식; 전해질 농도(wt%)</x:v>
      </x:c>
      <x:c r="BE52" s="12" t="str">
        <x:v>P/S unreported; Y2O3 powder addition is not measured elemental Y. Nominal ODS recipe and measured OES chemistry differ. Comparator is different material. AF explicit 2h OCP soaking.</x:v>
      </x:c>
    </x:row>
    <x:row r="53" ht="40" customHeight="1">
      <x:c r="A53" s="12" t="n">
        <x:v>31</x:v>
      </x:c>
      <x:c r="B53" s="13" t="str">
        <x:v>12Cr ODS 페라이트강(Fe-12Cr-2W-0.5Zr-0.3Y2O3) vs X46Cr13 마르텐사이트강</x:v>
      </x:c>
      <x:c r="C53" s="13" t="str">
        <x:v>12Cr ODS_0.61_NaCl</x:v>
      </x:c>
      <x:c r="D53" s="14" t="n">
        <x:v>0.11</x:v>
      </x:c>
      <x:c r="E53" s="14" t="n">
        <x:v>0.02</x:v>
      </x:c>
      <x:c r="F53" s="14" t="n">
        <x:v>0.1</x:v>
      </x:c>
      <x:c r="G53" s="14"/>
      <x:c r="H53" s="14"/>
      <x:c r="I53" s="14" t="n">
        <x:v>12.58</x:v>
      </x:c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 t="n">
        <x:v>1.49</x:v>
      </x:c>
      <x:c r="W53" s="14"/>
      <x:c r="X53" s="14"/>
      <x:c r="Y53" s="12" t="str">
        <x:v>Balance</x:v>
      </x:c>
      <x:c r="Z53" s="12"/>
      <x:c r="AA53" s="15"/>
      <x:c r="AB53" s="15"/>
      <x:c r="AC53" s="12"/>
      <x:c r="AD53" s="12" t="str">
        <x:v>NaCl</x:v>
      </x:c>
      <x:c r="AE53" s="12"/>
      <x:c r="AF53" s="12" t="n">
        <x:v>120</x:v>
      </x:c>
      <x:c r="AG53" s="12"/>
      <x:c r="AH53" s="12" t="n">
        <x:v>20</x:v>
      </x:c>
      <x:c r="AI53" s="12" t="str">
        <x:v>SCE</x:v>
      </x:c>
      <x:c r="AJ53" s="12" t="n">
        <x:v>3</x:v>
      </x:c>
      <x:c r="AK53" s="16" t="n">
        <x:v>-0.3925</x:v>
      </x:c>
      <x:c r="AL53" s="16" t="n">
        <x:v>6.800000000000001e-7</x:v>
      </x:c>
      <x:c r="AM53" s="12" t="str">
        <x:v>WM31_12Cr ODS_0.61_NaCl</x:v>
      </x:c>
      <x:c r="AN53" s="12" t="str">
        <x:v>10.3390/ma17143466</x:v>
      </x:c>
      <x:c r="AO53" s="12" t="str">
        <x:v>https://doi.org/10.3390/ma17143466</x:v>
      </x:c>
      <x:c r="AP53" s="12" t="str">
        <x:v>Table1 PDF p4; PDP methods pp4-5; Table3 p14/Table4 p15</x:v>
      </x:c>
      <x:c r="AQ53" s="12" t="str">
        <x:v>primary_source_transcription</x:v>
      </x:c>
      <x:c r="AR53" s="12" t="str">
        <x:v>reported_numeric</x:v>
      </x:c>
      <x:c r="AS53" s="12" t="n">
        <x:v>0.68</x:v>
      </x:c>
      <x:c r="AT53" s="12" t="str">
        <x:v>uA/cm2</x:v>
      </x:c>
      <x:c r="AU53" s="12" t="str">
        <x:v>0.61 mol/L NaCl</x:v>
      </x:c>
      <x:c r="AV53" s="12"/>
      <x:c r="AW53" s="12"/>
      <x:c r="AX53" s="12"/>
      <x:c r="AY53" s="12"/>
      <x:c r="AZ53" s="12"/>
      <x:c r="BA53" s="12" t="n">
        <x:v>21</x:v>
      </x:c>
      <x:c r="BB53" s="17" t="b">
        <x:v>0</x:v>
      </x:c>
      <x:c r="BC53" s="17" t="b">
        <x:v>0</x:v>
      </x:c>
      <x:c r="BD53" s="12" t="str">
        <x:v>P; S; Ni; Mo; Cu; T.N.(Total Nitrogen); Nb; V; Ti; Al; Sb; Ce; La; Pr; Y; La+Ce_합산; PREN; 열처리 온도(°C); Time(min); 냉각방식; 전해질 농도(wt%)</x:v>
      </x:c>
      <x:c r="BE53" s="12" t="str">
        <x:v>P/S unreported; Y2O3 powder addition is not measured elemental Y. Nominal ODS recipe and measured OES chemistry differ. Comparator is different material. AF explicit 2h OCP soaking.</x:v>
      </x:c>
    </x:row>
    <x:row r="54" ht="40" customHeight="1">
      <x:c r="A54" s="12" t="n">
        <x:v>31</x:v>
      </x:c>
      <x:c r="B54" s="13" t="str">
        <x:v>12Cr ODS 페라이트강(Fe-12Cr-2W-0.5Zr-0.3Y2O3) vs X46Cr13 마르텐사이트강</x:v>
      </x:c>
      <x:c r="C54" s="13" t="str">
        <x:v>X46Cr13_0.61_NaCl</x:v>
      </x:c>
      <x:c r="D54" s="14" t="n">
        <x:v>0.46</x:v>
      </x:c>
      <x:c r="E54" s="14" t="n">
        <x:v>0.29</x:v>
      </x:c>
      <x:c r="F54" s="14" t="n">
        <x:v>0.54</x:v>
      </x:c>
      <x:c r="G54" s="14"/>
      <x:c r="H54" s="14"/>
      <x:c r="I54" s="14" t="n">
        <x:v>13.53</x:v>
      </x:c>
      <x:c r="J54" s="14" t="n">
        <x:v>0.19</x:v>
      </x:c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2" t="str">
        <x:v>Balance</x:v>
      </x:c>
      <x:c r="Z54" s="12"/>
      <x:c r="AA54" s="15"/>
      <x:c r="AB54" s="15"/>
      <x:c r="AC54" s="12"/>
      <x:c r="AD54" s="12" t="str">
        <x:v>NaCl</x:v>
      </x:c>
      <x:c r="AE54" s="12"/>
      <x:c r="AF54" s="12" t="n">
        <x:v>120</x:v>
      </x:c>
      <x:c r="AG54" s="12"/>
      <x:c r="AH54" s="12" t="n">
        <x:v>20</x:v>
      </x:c>
      <x:c r="AI54" s="12" t="str">
        <x:v>SCE</x:v>
      </x:c>
      <x:c r="AJ54" s="12" t="n">
        <x:v>3</x:v>
      </x:c>
      <x:c r="AK54" s="16" t="n">
        <x:v>-0.4502</x:v>
      </x:c>
      <x:c r="AL54" s="16" t="n">
        <x:v>0.00000289</x:v>
      </x:c>
      <x:c r="AM54" s="12" t="str">
        <x:v>WM31_X46Cr13_0.61_NaCl</x:v>
      </x:c>
      <x:c r="AN54" s="12" t="str">
        <x:v>10.3390/ma17143466</x:v>
      </x:c>
      <x:c r="AO54" s="12" t="str">
        <x:v>https://doi.org/10.3390/ma17143466</x:v>
      </x:c>
      <x:c r="AP54" s="12" t="str">
        <x:v>Table1 PDF p4; PDP methods pp4-5; Table3 p14/Table4 p15</x:v>
      </x:c>
      <x:c r="AQ54" s="12" t="str">
        <x:v>primary_source_transcription</x:v>
      </x:c>
      <x:c r="AR54" s="12" t="str">
        <x:v>reported_numeric</x:v>
      </x:c>
      <x:c r="AS54" s="12" t="n">
        <x:v>2.89</x:v>
      </x:c>
      <x:c r="AT54" s="12" t="str">
        <x:v>uA/cm2</x:v>
      </x:c>
      <x:c r="AU54" s="12" t="str">
        <x:v>0.61 mol/L NaCl</x:v>
      </x:c>
      <x:c r="AV54" s="12"/>
      <x:c r="AW54" s="12"/>
      <x:c r="AX54" s="12"/>
      <x:c r="AY54" s="12"/>
      <x:c r="AZ54" s="12"/>
      <x:c r="BA54" s="12" t="n">
        <x:v>21</x:v>
      </x:c>
      <x:c r="BB54" s="17" t="b">
        <x:v>0</x:v>
      </x:c>
      <x:c r="BC54" s="17" t="b">
        <x:v>0</x:v>
      </x:c>
      <x:c r="BD54" s="12" t="str">
        <x:v>P; S; Mo; Cu; T.N.(Total Nitrogen); Nb; V; Ti; Al; Sb; Ce; La; Pr; W; Y; La+Ce_합산; PREN; 열처리 온도(°C); Time(min); 냉각방식; 전해질 농도(wt%)</x:v>
      </x:c>
      <x:c r="BE54" s="12" t="str">
        <x:v>P/S unreported; Y2O3 powder addition is not measured elemental Y. Nominal ODS recipe and measured OES chemistry differ. Comparator is different material. AF explicit 2h OCP soaking.</x:v>
      </x:c>
    </x:row>
    <x:row r="55" ht="40" customHeight="1">
      <x:c r="A55" s="12" t="n">
        <x:v>17</x:v>
      </x:c>
      <x:c r="B55" s="13" t="str">
        <x:v>304 스테인리스강(Y첨가)</x:v>
      </x:c>
      <x:c r="C55" s="13" t="str">
        <x:v>Y0</x:v>
      </x:c>
      <x:c r="D55" s="14" t="n">
        <x:v>0.0511</x:v>
      </x:c>
      <x:c r="E55" s="14" t="n">
        <x:v>0.4016</x:v>
      </x:c>
      <x:c r="F55" s="14" t="n">
        <x:v>1.2005</x:v>
      </x:c>
      <x:c r="G55" s="14" t="n">
        <x:v>0.0334</x:v>
      </x:c>
      <x:c r="H55" s="14" t="n">
        <x:v>0.0019</x:v>
      </x:c>
      <x:c r="I55" s="14" t="n">
        <x:v>18.0614</x:v>
      </x:c>
      <x:c r="J55" s="14" t="n">
        <x:v>8.048</x:v>
      </x:c>
      <x:c r="K55" s="14" t="n">
        <x:v>0.0198</x:v>
      </x:c>
      <x:c r="L55" s="14" t="n">
        <x:v>0.0391</x:v>
      </x:c>
      <x:c r="M55" s="14" t="n">
        <x:v>0.0377</x:v>
      </x:c>
      <x:c r="N55" s="14"/>
      <x:c r="O55" s="14"/>
      <x:c r="P55" s="14"/>
      <x:c r="Q55" s="14" t="n">
        <x:v>0.0132</x:v>
      </x:c>
      <x:c r="R55" s="14"/>
      <x:c r="S55" s="14"/>
      <x:c r="T55" s="14"/>
      <x:c r="U55" s="14"/>
      <x:c r="V55" s="14"/>
      <x:c r="W55" s="14" t="n">
        <x:v>0</x:v>
      </x:c>
      <x:c r="X55" s="14"/>
      <x:c r="Y55" s="12" t="str">
        <x:v>Balance</x:v>
      </x:c>
      <x:c r="Z55" s="12" t="n">
        <x:v>18.72994</x:v>
      </x:c>
      <x:c r="AA55" s="15"/>
      <x:c r="AB55" s="15"/>
      <x:c r="AC55" s="12"/>
      <x:c r="AD55" s="12" t="str">
        <x:v>NaCl</x:v>
      </x:c>
      <x:c r="AE55" s="12"/>
      <x:c r="AF55" s="12"/>
      <x:c r="AG55" s="12"/>
      <x:c r="AH55" s="12" t="n">
        <x:v>24.85</x:v>
      </x:c>
      <x:c r="AI55" s="12" t="str">
        <x:v>SCE</x:v>
      </x:c>
      <x:c r="AJ55" s="12" t="n">
        <x:v>0.38</x:v>
      </x:c>
      <x:c r="AK55" s="16" t="n">
        <x:v>-0.31</x:v>
      </x:c>
      <x:c r="AL55" s="16"/>
      <x:c r="AM55" s="12" t="str">
        <x:v>WM17_Y0</x:v>
      </x:c>
      <x:c r="AN55" s="12" t="str">
        <x:v>10.1038/s41598-018-23273-x</x:v>
      </x:c>
      <x:c r="AO55" s="12" t="str">
        <x:v>https://doi.org/10.1038/s41598-018-23273-x</x:v>
      </x:c>
      <x:c r="AP55" s="12" t="str">
        <x:v>Table1/methods PDF p2; Table2 p5</x:v>
      </x:c>
      <x:c r="AQ55" s="12" t="str">
        <x:v>primary_source_transcription</x:v>
      </x:c>
      <x:c r="AR55" s="12" t="str">
        <x:v>not_reported</x:v>
      </x:c>
      <x:c r="AS55" s="12"/>
      <x:c r="AT55" s="12"/>
      <x:c r="AU55" s="12" t="str">
        <x:v>3.5% NaCl; percentage basis unassigned</x:v>
      </x:c>
      <x:c r="AV55" s="12"/>
      <x:c r="AW55" s="12" t="n">
        <x:v>0</x:v>
      </x:c>
      <x:c r="AX55" s="12"/>
      <x:c r="AY55" s="12"/>
      <x:c r="AZ55" s="12"/>
      <x:c r="BA55" s="12" t="n">
        <x:v>15</x:v>
      </x:c>
      <x:c r="BB55" s="17" t="b">
        <x:v>0</x:v>
      </x:c>
      <x:c r="BC55" s="17" t="b">
        <x:v>0</x:v>
      </x:c>
      <x:c r="BD55" s="12" t="str">
        <x:v>Nb; V; Ti; Sb; Ce; La; Pr; W; La+Ce_합산; 열처리 온도(°C); Time(min); 냉각방식; 전해질 농도(wt%); 침지시간(min); icorr(A/cm2)</x:v>
      </x:c>
      <x:c r="BE55" s="12" t="str">
        <x:v>298K converted to24.85C. Shared starting-steel composition and nominal experimental Y levels, not individual residual measurements. Table2 has no icorr; do not import workbook AL. PREN calculated as Cr+3.3Mo+16N; not a measurement.</x:v>
      </x:c>
    </x:row>
    <x:row r="56" ht="40" customHeight="1">
      <x:c r="A56" s="12" t="n">
        <x:v>17</x:v>
      </x:c>
      <x:c r="B56" s="13" t="str">
        <x:v>304 스테인리스강(Y첨가)</x:v>
      </x:c>
      <x:c r="C56" s="13" t="str">
        <x:v>Y0.007</x:v>
      </x:c>
      <x:c r="D56" s="14" t="n">
        <x:v>0.0511</x:v>
      </x:c>
      <x:c r="E56" s="14" t="n">
        <x:v>0.4016</x:v>
      </x:c>
      <x:c r="F56" s="14" t="n">
        <x:v>1.2005</x:v>
      </x:c>
      <x:c r="G56" s="14" t="n">
        <x:v>0.0334</x:v>
      </x:c>
      <x:c r="H56" s="14" t="n">
        <x:v>0.0019</x:v>
      </x:c>
      <x:c r="I56" s="14" t="n">
        <x:v>18.0614</x:v>
      </x:c>
      <x:c r="J56" s="14" t="n">
        <x:v>8.048</x:v>
      </x:c>
      <x:c r="K56" s="14" t="n">
        <x:v>0.0198</x:v>
      </x:c>
      <x:c r="L56" s="14" t="n">
        <x:v>0.0391</x:v>
      </x:c>
      <x:c r="M56" s="14" t="n">
        <x:v>0.0377</x:v>
      </x:c>
      <x:c r="N56" s="14"/>
      <x:c r="O56" s="14"/>
      <x:c r="P56" s="14"/>
      <x:c r="Q56" s="14" t="n">
        <x:v>0.0132</x:v>
      </x:c>
      <x:c r="R56" s="14"/>
      <x:c r="S56" s="14"/>
      <x:c r="T56" s="14"/>
      <x:c r="U56" s="14"/>
      <x:c r="V56" s="14"/>
      <x:c r="W56" s="14" t="n">
        <x:v>0.007</x:v>
      </x:c>
      <x:c r="X56" s="14"/>
      <x:c r="Y56" s="12" t="str">
        <x:v>Balance</x:v>
      </x:c>
      <x:c r="Z56" s="12" t="n">
        <x:v>18.72994</x:v>
      </x:c>
      <x:c r="AA56" s="15"/>
      <x:c r="AB56" s="15"/>
      <x:c r="AC56" s="12"/>
      <x:c r="AD56" s="12" t="str">
        <x:v>NaCl</x:v>
      </x:c>
      <x:c r="AE56" s="12"/>
      <x:c r="AF56" s="12"/>
      <x:c r="AG56" s="12"/>
      <x:c r="AH56" s="12" t="n">
        <x:v>24.85</x:v>
      </x:c>
      <x:c r="AI56" s="12" t="str">
        <x:v>SCE</x:v>
      </x:c>
      <x:c r="AJ56" s="12" t="n">
        <x:v>0.38</x:v>
      </x:c>
      <x:c r="AK56" s="16" t="n">
        <x:v>-0.35</x:v>
      </x:c>
      <x:c r="AL56" s="16"/>
      <x:c r="AM56" s="12" t="str">
        <x:v>WM17_Y0.007</x:v>
      </x:c>
      <x:c r="AN56" s="12" t="str">
        <x:v>10.1038/s41598-018-23273-x</x:v>
      </x:c>
      <x:c r="AO56" s="12" t="str">
        <x:v>https://doi.org/10.1038/s41598-018-23273-x</x:v>
      </x:c>
      <x:c r="AP56" s="12" t="str">
        <x:v>Table1/methods PDF p2; Table2 p5</x:v>
      </x:c>
      <x:c r="AQ56" s="12" t="str">
        <x:v>primary_source_transcription</x:v>
      </x:c>
      <x:c r="AR56" s="12" t="str">
        <x:v>not_reported</x:v>
      </x:c>
      <x:c r="AS56" s="12"/>
      <x:c r="AT56" s="12"/>
      <x:c r="AU56" s="12" t="str">
        <x:v>3.5% NaCl; percentage basis unassigned</x:v>
      </x:c>
      <x:c r="AV56" s="12"/>
      <x:c r="AW56" s="12" t="n">
        <x:v>0.007</x:v>
      </x:c>
      <x:c r="AX56" s="12"/>
      <x:c r="AY56" s="12"/>
      <x:c r="AZ56" s="12"/>
      <x:c r="BA56" s="12" t="n">
        <x:v>15</x:v>
      </x:c>
      <x:c r="BB56" s="17" t="b">
        <x:v>0</x:v>
      </x:c>
      <x:c r="BC56" s="17" t="b">
        <x:v>0</x:v>
      </x:c>
      <x:c r="BD56" s="12" t="str">
        <x:v>Nb; V; Ti; Sb; Ce; La; Pr; W; La+Ce_합산; 열처리 온도(°C); Time(min); 냉각방식; 전해질 농도(wt%); 침지시간(min); icorr(A/cm2)</x:v>
      </x:c>
      <x:c r="BE56" s="12" t="str">
        <x:v>298K converted to24.85C. Shared starting-steel composition and nominal experimental Y levels, not individual residual measurements. Table2 has no icorr; do not import workbook AL. PREN calculated as Cr+3.3Mo+16N; not a measurement.</x:v>
      </x:c>
    </x:row>
    <x:row r="57" ht="40" customHeight="1">
      <x:c r="A57" s="12" t="n">
        <x:v>17</x:v>
      </x:c>
      <x:c r="B57" s="13" t="str">
        <x:v>304 스테인리스강(Y첨가)</x:v>
      </x:c>
      <x:c r="C57" s="13" t="str">
        <x:v>Y0.013</x:v>
      </x:c>
      <x:c r="D57" s="14" t="n">
        <x:v>0.0511</x:v>
      </x:c>
      <x:c r="E57" s="14" t="n">
        <x:v>0.4016</x:v>
      </x:c>
      <x:c r="F57" s="14" t="n">
        <x:v>1.2005</x:v>
      </x:c>
      <x:c r="G57" s="14" t="n">
        <x:v>0.0334</x:v>
      </x:c>
      <x:c r="H57" s="14" t="n">
        <x:v>0.0019</x:v>
      </x:c>
      <x:c r="I57" s="14" t="n">
        <x:v>18.0614</x:v>
      </x:c>
      <x:c r="J57" s="14" t="n">
        <x:v>8.048</x:v>
      </x:c>
      <x:c r="K57" s="14" t="n">
        <x:v>0.0198</x:v>
      </x:c>
      <x:c r="L57" s="14" t="n">
        <x:v>0.0391</x:v>
      </x:c>
      <x:c r="M57" s="14" t="n">
        <x:v>0.0377</x:v>
      </x:c>
      <x:c r="N57" s="14"/>
      <x:c r="O57" s="14"/>
      <x:c r="P57" s="14"/>
      <x:c r="Q57" s="14" t="n">
        <x:v>0.0132</x:v>
      </x:c>
      <x:c r="R57" s="14"/>
      <x:c r="S57" s="14"/>
      <x:c r="T57" s="14"/>
      <x:c r="U57" s="14"/>
      <x:c r="V57" s="14"/>
      <x:c r="W57" s="14" t="n">
        <x:v>0.013</x:v>
      </x:c>
      <x:c r="X57" s="14"/>
      <x:c r="Y57" s="12" t="str">
        <x:v>Balance</x:v>
      </x:c>
      <x:c r="Z57" s="12" t="n">
        <x:v>18.72994</x:v>
      </x:c>
      <x:c r="AA57" s="15"/>
      <x:c r="AB57" s="15"/>
      <x:c r="AC57" s="12"/>
      <x:c r="AD57" s="12" t="str">
        <x:v>NaCl</x:v>
      </x:c>
      <x:c r="AE57" s="12"/>
      <x:c r="AF57" s="12"/>
      <x:c r="AG57" s="12"/>
      <x:c r="AH57" s="12" t="n">
        <x:v>24.85</x:v>
      </x:c>
      <x:c r="AI57" s="12" t="str">
        <x:v>SCE</x:v>
      </x:c>
      <x:c r="AJ57" s="12" t="n">
        <x:v>0.38</x:v>
      </x:c>
      <x:c r="AK57" s="16" t="n">
        <x:v>-0.29</x:v>
      </x:c>
      <x:c r="AL57" s="16"/>
      <x:c r="AM57" s="12" t="str">
        <x:v>WM17_Y0.013</x:v>
      </x:c>
      <x:c r="AN57" s="12" t="str">
        <x:v>10.1038/s41598-018-23273-x</x:v>
      </x:c>
      <x:c r="AO57" s="12" t="str">
        <x:v>https://doi.org/10.1038/s41598-018-23273-x</x:v>
      </x:c>
      <x:c r="AP57" s="12" t="str">
        <x:v>Table1/methods PDF p2; Table2 p5</x:v>
      </x:c>
      <x:c r="AQ57" s="12" t="str">
        <x:v>primary_source_transcription</x:v>
      </x:c>
      <x:c r="AR57" s="12" t="str">
        <x:v>not_reported</x:v>
      </x:c>
      <x:c r="AS57" s="12"/>
      <x:c r="AT57" s="12"/>
      <x:c r="AU57" s="12" t="str">
        <x:v>3.5% NaCl; percentage basis unassigned</x:v>
      </x:c>
      <x:c r="AV57" s="12"/>
      <x:c r="AW57" s="12" t="n">
        <x:v>0.013</x:v>
      </x:c>
      <x:c r="AX57" s="12"/>
      <x:c r="AY57" s="12"/>
      <x:c r="AZ57" s="12"/>
      <x:c r="BA57" s="12" t="n">
        <x:v>15</x:v>
      </x:c>
      <x:c r="BB57" s="17" t="b">
        <x:v>0</x:v>
      </x:c>
      <x:c r="BC57" s="17" t="b">
        <x:v>0</x:v>
      </x:c>
      <x:c r="BD57" s="12" t="str">
        <x:v>Nb; V; Ti; Sb; Ce; La; Pr; W; La+Ce_합산; 열처리 온도(°C); Time(min); 냉각방식; 전해질 농도(wt%); 침지시간(min); icorr(A/cm2)</x:v>
      </x:c>
      <x:c r="BE57" s="12" t="str">
        <x:v>298K converted to24.85C. Shared starting-steel composition and nominal experimental Y levels, not individual residual measurements. Table2 has no icorr; do not import workbook AL. PREN calculated as Cr+3.3Mo+16N; not a measurement.</x:v>
      </x:c>
    </x:row>
    <x:row r="58" ht="40" customHeight="1">
      <x:c r="A58" s="12" t="n">
        <x:v>17</x:v>
      </x:c>
      <x:c r="B58" s="13" t="str">
        <x:v>304 스테인리스강(Y첨가)</x:v>
      </x:c>
      <x:c r="C58" s="13" t="str">
        <x:v>Y0.019</x:v>
      </x:c>
      <x:c r="D58" s="14" t="n">
        <x:v>0.0511</x:v>
      </x:c>
      <x:c r="E58" s="14" t="n">
        <x:v>0.4016</x:v>
      </x:c>
      <x:c r="F58" s="14" t="n">
        <x:v>1.2005</x:v>
      </x:c>
      <x:c r="G58" s="14" t="n">
        <x:v>0.0334</x:v>
      </x:c>
      <x:c r="H58" s="14" t="n">
        <x:v>0.0019</x:v>
      </x:c>
      <x:c r="I58" s="14" t="n">
        <x:v>18.0614</x:v>
      </x:c>
      <x:c r="J58" s="14" t="n">
        <x:v>8.048</x:v>
      </x:c>
      <x:c r="K58" s="14" t="n">
        <x:v>0.0198</x:v>
      </x:c>
      <x:c r="L58" s="14" t="n">
        <x:v>0.0391</x:v>
      </x:c>
      <x:c r="M58" s="14" t="n">
        <x:v>0.0377</x:v>
      </x:c>
      <x:c r="N58" s="14"/>
      <x:c r="O58" s="14"/>
      <x:c r="P58" s="14"/>
      <x:c r="Q58" s="14" t="n">
        <x:v>0.0132</x:v>
      </x:c>
      <x:c r="R58" s="14"/>
      <x:c r="S58" s="14"/>
      <x:c r="T58" s="14"/>
      <x:c r="U58" s="14"/>
      <x:c r="V58" s="14"/>
      <x:c r="W58" s="14" t="n">
        <x:v>0.019</x:v>
      </x:c>
      <x:c r="X58" s="14"/>
      <x:c r="Y58" s="12" t="str">
        <x:v>Balance</x:v>
      </x:c>
      <x:c r="Z58" s="12" t="n">
        <x:v>18.72994</x:v>
      </x:c>
      <x:c r="AA58" s="15"/>
      <x:c r="AB58" s="15"/>
      <x:c r="AC58" s="12"/>
      <x:c r="AD58" s="12" t="str">
        <x:v>NaCl</x:v>
      </x:c>
      <x:c r="AE58" s="12"/>
      <x:c r="AF58" s="12"/>
      <x:c r="AG58" s="12"/>
      <x:c r="AH58" s="12" t="n">
        <x:v>24.85</x:v>
      </x:c>
      <x:c r="AI58" s="12" t="str">
        <x:v>SCE</x:v>
      </x:c>
      <x:c r="AJ58" s="12" t="n">
        <x:v>0.38</x:v>
      </x:c>
      <x:c r="AK58" s="16" t="n">
        <x:v>-0.3</x:v>
      </x:c>
      <x:c r="AL58" s="16"/>
      <x:c r="AM58" s="12" t="str">
        <x:v>WM17_Y0.019</x:v>
      </x:c>
      <x:c r="AN58" s="12" t="str">
        <x:v>10.1038/s41598-018-23273-x</x:v>
      </x:c>
      <x:c r="AO58" s="12" t="str">
        <x:v>https://doi.org/10.1038/s41598-018-23273-x</x:v>
      </x:c>
      <x:c r="AP58" s="12" t="str">
        <x:v>Table1/methods PDF p2; Table2 p5</x:v>
      </x:c>
      <x:c r="AQ58" s="12" t="str">
        <x:v>primary_source_transcription</x:v>
      </x:c>
      <x:c r="AR58" s="12" t="str">
        <x:v>not_reported</x:v>
      </x:c>
      <x:c r="AS58" s="12"/>
      <x:c r="AT58" s="12"/>
      <x:c r="AU58" s="12" t="str">
        <x:v>3.5% NaCl; percentage basis unassigned</x:v>
      </x:c>
      <x:c r="AV58" s="12"/>
      <x:c r="AW58" s="12" t="n">
        <x:v>0.019</x:v>
      </x:c>
      <x:c r="AX58" s="12"/>
      <x:c r="AY58" s="12"/>
      <x:c r="AZ58" s="12"/>
      <x:c r="BA58" s="12" t="n">
        <x:v>15</x:v>
      </x:c>
      <x:c r="BB58" s="17" t="b">
        <x:v>0</x:v>
      </x:c>
      <x:c r="BC58" s="17" t="b">
        <x:v>0</x:v>
      </x:c>
      <x:c r="BD58" s="12" t="str">
        <x:v>Nb; V; Ti; Sb; Ce; La; Pr; W; La+Ce_합산; 열처리 온도(°C); Time(min); 냉각방식; 전해질 농도(wt%); 침지시간(min); icorr(A/cm2)</x:v>
      </x:c>
      <x:c r="BE58" s="12" t="str">
        <x:v>298K converted to24.85C. Shared starting-steel composition and nominal experimental Y levels, not individual residual measurements. Table2 has no icorr; do not import workbook AL. PREN calculated as Cr+3.3Mo+16N; not a measurement.</x:v>
      </x:c>
    </x:row>
    <x:row r="59" ht="40" customHeight="1">
      <x:c r="A59" s="12" t="n">
        <x:v>17</x:v>
      </x:c>
      <x:c r="B59" s="13" t="str">
        <x:v>304 스테인리스강(Y첨가)</x:v>
      </x:c>
      <x:c r="C59" s="13" t="str">
        <x:v>Y0.049</x:v>
      </x:c>
      <x:c r="D59" s="14" t="n">
        <x:v>0.0511</x:v>
      </x:c>
      <x:c r="E59" s="14" t="n">
        <x:v>0.4016</x:v>
      </x:c>
      <x:c r="F59" s="14" t="n">
        <x:v>1.2005</x:v>
      </x:c>
      <x:c r="G59" s="14" t="n">
        <x:v>0.0334</x:v>
      </x:c>
      <x:c r="H59" s="14" t="n">
        <x:v>0.0019</x:v>
      </x:c>
      <x:c r="I59" s="14" t="n">
        <x:v>18.0614</x:v>
      </x:c>
      <x:c r="J59" s="14" t="n">
        <x:v>8.048</x:v>
      </x:c>
      <x:c r="K59" s="14" t="n">
        <x:v>0.0198</x:v>
      </x:c>
      <x:c r="L59" s="14" t="n">
        <x:v>0.0391</x:v>
      </x:c>
      <x:c r="M59" s="14" t="n">
        <x:v>0.0377</x:v>
      </x:c>
      <x:c r="N59" s="14"/>
      <x:c r="O59" s="14"/>
      <x:c r="P59" s="14"/>
      <x:c r="Q59" s="14" t="n">
        <x:v>0.0132</x:v>
      </x:c>
      <x:c r="R59" s="14"/>
      <x:c r="S59" s="14"/>
      <x:c r="T59" s="14"/>
      <x:c r="U59" s="14"/>
      <x:c r="V59" s="14"/>
      <x:c r="W59" s="14" t="n">
        <x:v>0.049</x:v>
      </x:c>
      <x:c r="X59" s="14"/>
      <x:c r="Y59" s="12" t="str">
        <x:v>Balance</x:v>
      </x:c>
      <x:c r="Z59" s="12" t="n">
        <x:v>18.72994</x:v>
      </x:c>
      <x:c r="AA59" s="15"/>
      <x:c r="AB59" s="15"/>
      <x:c r="AC59" s="12"/>
      <x:c r="AD59" s="12" t="str">
        <x:v>NaCl</x:v>
      </x:c>
      <x:c r="AE59" s="12"/>
      <x:c r="AF59" s="12"/>
      <x:c r="AG59" s="12"/>
      <x:c r="AH59" s="12" t="n">
        <x:v>24.85</x:v>
      </x:c>
      <x:c r="AI59" s="12" t="str">
        <x:v>SCE</x:v>
      </x:c>
      <x:c r="AJ59" s="12" t="n">
        <x:v>0.38</x:v>
      </x:c>
      <x:c r="AK59" s="16" t="n">
        <x:v>-0.35</x:v>
      </x:c>
      <x:c r="AL59" s="16"/>
      <x:c r="AM59" s="12" t="str">
        <x:v>WM17_Y0.049</x:v>
      </x:c>
      <x:c r="AN59" s="12" t="str">
        <x:v>10.1038/s41598-018-23273-x</x:v>
      </x:c>
      <x:c r="AO59" s="12" t="str">
        <x:v>https://doi.org/10.1038/s41598-018-23273-x</x:v>
      </x:c>
      <x:c r="AP59" s="12" t="str">
        <x:v>Table1/methods PDF p2; Table2 p5</x:v>
      </x:c>
      <x:c r="AQ59" s="12" t="str">
        <x:v>primary_source_transcription</x:v>
      </x:c>
      <x:c r="AR59" s="12" t="str">
        <x:v>not_reported</x:v>
      </x:c>
      <x:c r="AS59" s="12"/>
      <x:c r="AT59" s="12"/>
      <x:c r="AU59" s="12" t="str">
        <x:v>3.5% NaCl; percentage basis unassigned</x:v>
      </x:c>
      <x:c r="AV59" s="12"/>
      <x:c r="AW59" s="12" t="n">
        <x:v>0.049</x:v>
      </x:c>
      <x:c r="AX59" s="12"/>
      <x:c r="AY59" s="12"/>
      <x:c r="AZ59" s="12"/>
      <x:c r="BA59" s="12" t="n">
        <x:v>15</x:v>
      </x:c>
      <x:c r="BB59" s="17" t="b">
        <x:v>0</x:v>
      </x:c>
      <x:c r="BC59" s="17" t="b">
        <x:v>0</x:v>
      </x:c>
      <x:c r="BD59" s="12" t="str">
        <x:v>Nb; V; Ti; Sb; Ce; La; Pr; W; La+Ce_합산; 열처리 온도(°C); Time(min); 냉각방식; 전해질 농도(wt%); 침지시간(min); icorr(A/cm2)</x:v>
      </x:c>
      <x:c r="BE59" s="12" t="str">
        <x:v>298K converted to24.85C. Shared starting-steel composition and nominal experimental Y levels, not individual residual measurements. Table2 has no icorr; do not import workbook AL. PREN calculated as Cr+3.3Mo+16N; not a measurement.</x:v>
      </x:c>
    </x:row>
    <x:row r="60" ht="40" customHeight="1">
      <x:c r="A60" s="12" t="n">
        <x:v>6</x:v>
      </x:c>
      <x:c r="B60" s="13" t="str">
        <x:v>EH420 해양강(Mg-Ce 처리)</x:v>
      </x:c>
      <x:c r="C60" s="13" t="str">
        <x:v>LM</x:v>
      </x:c>
      <x:c r="D60" s="14" t="n">
        <x:v>0.08</x:v>
      </x:c>
      <x:c r="E60" s="14" t="n">
        <x:v>0.34</x:v>
      </x:c>
      <x:c r="F60" s="14" t="n">
        <x:v>1.68</x:v>
      </x:c>
      <x:c r="G60" s="14" t="n">
        <x:v>0.0081</x:v>
      </x:c>
      <x:c r="H60" s="14" t="n">
        <x:v>0.004</x:v>
      </x:c>
      <x:c r="I60" s="14"/>
      <x:c r="J60" s="14" t="n">
        <x:v>0.31</x:v>
      </x:c>
      <x:c r="K60" s="14"/>
      <x:c r="L60" s="14" t="n">
        <x:v>0.23</x:v>
      </x:c>
      <x:c r="M60" s="14" t="n">
        <x:v>0.0033</x:v>
      </x:c>
      <x:c r="N60" s="14"/>
      <x:c r="O60" s="14"/>
      <x:c r="P60" s="14" t="n">
        <x:v>0.015</x:v>
      </x:c>
      <x:c r="Q60" s="14" t="n">
        <x:v>0.01</x:v>
      </x:c>
      <x:c r="R60" s="14"/>
      <x:c r="S60" s="14"/>
      <x:c r="T60" s="14"/>
      <x:c r="U60" s="14"/>
      <x:c r="V60" s="14"/>
      <x:c r="W60" s="14"/>
      <x:c r="X60" s="14"/>
      <x:c r="Y60" s="12"/>
      <x:c r="Z60" s="12"/>
      <x:c r="AA60" s="15"/>
      <x:c r="AB60" s="15"/>
      <x:c r="AC60" s="12"/>
      <x:c r="AD60" s="12" t="str">
        <x:v>NaCl</x:v>
      </x:c>
      <x:c r="AE60" s="12"/>
      <x:c r="AF60" s="12"/>
      <x:c r="AG60" s="12"/>
      <x:c r="AH60" s="12"/>
      <x:c r="AI60" s="12"/>
      <x:c r="AJ60" s="12"/>
      <x:c r="AK60" s="16"/>
      <x:c r="AL60" s="16"/>
      <x:c r="AM60" s="12" t="str">
        <x:v>WM06_LM</x:v>
      </x:c>
      <x:c r="AN60" s="12" t="str">
        <x:v>10.3390/met13071244</x:v>
      </x:c>
      <x:c r="AO60" s="12" t="str">
        <x:v>https://doi.org/10.3390/met13071244</x:v>
      </x:c>
      <x:c r="AP60" s="12" t="str">
        <x:v>Table1 PDF p3; Table5 PDF p10</x:v>
      </x:c>
      <x:c r="AQ60" s="12" t="str">
        <x:v>primary_source_transcription</x:v>
      </x:c>
      <x:c r="AR60" s="12" t="str">
        <x:v>not_reported</x:v>
      </x:c>
      <x:c r="AS60" s="12"/>
      <x:c r="AT60" s="12"/>
      <x:c r="AU60" s="12"/>
      <x:c r="AV60" s="12"/>
      <x:c r="AW60" s="12"/>
      <x:c r="AX60" s="12"/>
      <x:c r="AY60" s="12"/>
      <x:c r="AZ60" s="12"/>
      <x:c r="BA60" s="12" t="n">
        <x:v>23</x:v>
      </x:c>
      <x:c r="BB60" s="17" t="b">
        <x:v>0</x:v>
      </x:c>
      <x:c r="BC60" s="17" t="b">
        <x:v>0</x:v>
      </x:c>
      <x:c r="BD60" s="12" t="str">
        <x:v>Cr; Mo; Nb; V; Sb; Ce; La; Pr; W; Y; La+Ce_합산; Fe; PREN; 열처리 온도(°C); Time(min); 냉각방식; 전해질 농도(wt%); 침지시간(min); 온도(°C); 기준전극; 주사속도(mV/s); Ecorr(V); icorr(A/cm2)</x:v>
      </x:c>
      <x:c r="BE60" s="12" t="str">
        <x:v>Table5 reports pitting potential and KI, not icorr. Dash Ce not converted to zero.</x:v>
      </x:c>
    </x:row>
    <x:row r="61" ht="40" customHeight="1">
      <x:c r="A61" s="12" t="n">
        <x:v>6</x:v>
      </x:c>
      <x:c r="B61" s="13" t="str">
        <x:v>EH420 해양강(Mg-Ce 처리)</x:v>
      </x:c>
      <x:c r="C61" s="13" t="str">
        <x:v>HM</x:v>
      </x:c>
      <x:c r="D61" s="14" t="n">
        <x:v>0.07</x:v>
      </x:c>
      <x:c r="E61" s="14" t="n">
        <x:v>0.38</x:v>
      </x:c>
      <x:c r="F61" s="14" t="n">
        <x:v>1.72</x:v>
      </x:c>
      <x:c r="G61" s="14" t="n">
        <x:v>0.0072</x:v>
      </x:c>
      <x:c r="H61" s="14" t="n">
        <x:v>0.0039</x:v>
      </x:c>
      <x:c r="I61" s="14"/>
      <x:c r="J61" s="14" t="n">
        <x:v>0.28</x:v>
      </x:c>
      <x:c r="K61" s="14"/>
      <x:c r="L61" s="14" t="n">
        <x:v>0.2</x:v>
      </x:c>
      <x:c r="M61" s="14" t="n">
        <x:v>0.0032</x:v>
      </x:c>
      <x:c r="N61" s="14"/>
      <x:c r="O61" s="14"/>
      <x:c r="P61" s="14" t="n">
        <x:v>0.01</x:v>
      </x:c>
      <x:c r="Q61" s="14" t="n">
        <x:v>0.011</x:v>
      </x:c>
      <x:c r="R61" s="14"/>
      <x:c r="S61" s="14"/>
      <x:c r="T61" s="14"/>
      <x:c r="U61" s="14"/>
      <x:c r="V61" s="14"/>
      <x:c r="W61" s="14"/>
      <x:c r="X61" s="14"/>
      <x:c r="Y61" s="12"/>
      <x:c r="Z61" s="12"/>
      <x:c r="AA61" s="15"/>
      <x:c r="AB61" s="15"/>
      <x:c r="AC61" s="12"/>
      <x:c r="AD61" s="12" t="str">
        <x:v>NaCl</x:v>
      </x:c>
      <x:c r="AE61" s="12"/>
      <x:c r="AF61" s="12"/>
      <x:c r="AG61" s="12"/>
      <x:c r="AH61" s="12"/>
      <x:c r="AI61" s="12"/>
      <x:c r="AJ61" s="12"/>
      <x:c r="AK61" s="16"/>
      <x:c r="AL61" s="16"/>
      <x:c r="AM61" s="12" t="str">
        <x:v>WM06_HM</x:v>
      </x:c>
      <x:c r="AN61" s="12" t="str">
        <x:v>10.3390/met13071244</x:v>
      </x:c>
      <x:c r="AO61" s="12" t="str">
        <x:v>https://doi.org/10.3390/met13071244</x:v>
      </x:c>
      <x:c r="AP61" s="12" t="str">
        <x:v>Table1 PDF p3; Table5 PDF p10</x:v>
      </x:c>
      <x:c r="AQ61" s="12" t="str">
        <x:v>primary_source_transcription</x:v>
      </x:c>
      <x:c r="AR61" s="12" t="str">
        <x:v>not_reported</x:v>
      </x:c>
      <x:c r="AS61" s="12"/>
      <x:c r="AT61" s="12"/>
      <x:c r="AU61" s="12"/>
      <x:c r="AV61" s="12"/>
      <x:c r="AW61" s="12"/>
      <x:c r="AX61" s="12"/>
      <x:c r="AY61" s="12"/>
      <x:c r="AZ61" s="12"/>
      <x:c r="BA61" s="12" t="n">
        <x:v>23</x:v>
      </x:c>
      <x:c r="BB61" s="17" t="b">
        <x:v>0</x:v>
      </x:c>
      <x:c r="BC61" s="17" t="b">
        <x:v>0</x:v>
      </x:c>
      <x:c r="BD61" s="12" t="str">
        <x:v>Cr; Mo; Nb; V; Sb; Ce; La; Pr; W; Y; La+Ce_합산; Fe; PREN; 열처리 온도(°C); Time(min); 냉각방식; 전해질 농도(wt%); 침지시간(min); 온도(°C); 기준전극; 주사속도(mV/s); Ecorr(V); icorr(A/cm2)</x:v>
      </x:c>
      <x:c r="BE61" s="12" t="str">
        <x:v>Table5 reports pitting potential and KI, not icorr. Dash Ce not converted to zero.</x:v>
      </x:c>
    </x:row>
    <x:row r="62" ht="40" customHeight="1">
      <x:c r="A62" s="12" t="n">
        <x:v>6</x:v>
      </x:c>
      <x:c r="B62" s="13" t="str">
        <x:v>EH420 해양강(Mg-Ce 처리)</x:v>
      </x:c>
      <x:c r="C62" s="13" t="str">
        <x:v>HC</x:v>
      </x:c>
      <x:c r="D62" s="14" t="n">
        <x:v>0.06</x:v>
      </x:c>
      <x:c r="E62" s="14" t="n">
        <x:v>0.42</x:v>
      </x:c>
      <x:c r="F62" s="14" t="n">
        <x:v>1.72</x:v>
      </x:c>
      <x:c r="G62" s="14" t="n">
        <x:v>0.0077</x:v>
      </x:c>
      <x:c r="H62" s="14" t="n">
        <x:v>0.0035</x:v>
      </x:c>
      <x:c r="I62" s="14"/>
      <x:c r="J62" s="14" t="n">
        <x:v>0.29</x:v>
      </x:c>
      <x:c r="K62" s="14"/>
      <x:c r="L62" s="14" t="n">
        <x:v>0.2</x:v>
      </x:c>
      <x:c r="M62" s="14" t="n">
        <x:v>0.003</x:v>
      </x:c>
      <x:c r="N62" s="14"/>
      <x:c r="O62" s="14"/>
      <x:c r="P62" s="14" t="n">
        <x:v>0.011</x:v>
      </x:c>
      <x:c r="Q62" s="14" t="n">
        <x:v>0.011</x:v>
      </x:c>
      <x:c r="R62" s="14"/>
      <x:c r="S62" s="14" t="n">
        <x:v>0.034</x:v>
      </x:c>
      <x:c r="T62" s="14"/>
      <x:c r="U62" s="14"/>
      <x:c r="V62" s="14"/>
      <x:c r="W62" s="14"/>
      <x:c r="X62" s="14"/>
      <x:c r="Y62" s="12"/>
      <x:c r="Z62" s="12"/>
      <x:c r="AA62" s="15"/>
      <x:c r="AB62" s="15"/>
      <x:c r="AC62" s="12"/>
      <x:c r="AD62" s="12" t="str">
        <x:v>NaCl</x:v>
      </x:c>
      <x:c r="AE62" s="12"/>
      <x:c r="AF62" s="12"/>
      <x:c r="AG62" s="12"/>
      <x:c r="AH62" s="12"/>
      <x:c r="AI62" s="12"/>
      <x:c r="AJ62" s="12"/>
      <x:c r="AK62" s="16"/>
      <x:c r="AL62" s="16"/>
      <x:c r="AM62" s="12" t="str">
        <x:v>WM06_HC</x:v>
      </x:c>
      <x:c r="AN62" s="12" t="str">
        <x:v>10.3390/met13071244</x:v>
      </x:c>
      <x:c r="AO62" s="12" t="str">
        <x:v>https://doi.org/10.3390/met13071244</x:v>
      </x:c>
      <x:c r="AP62" s="12" t="str">
        <x:v>Table1 PDF p3; Table5 PDF p10</x:v>
      </x:c>
      <x:c r="AQ62" s="12" t="str">
        <x:v>primary_source_transcription</x:v>
      </x:c>
      <x:c r="AR62" s="12" t="str">
        <x:v>not_reported</x:v>
      </x:c>
      <x:c r="AS62" s="12"/>
      <x:c r="AT62" s="12"/>
      <x:c r="AU62" s="12"/>
      <x:c r="AV62" s="12"/>
      <x:c r="AW62" s="12"/>
      <x:c r="AX62" s="12"/>
      <x:c r="AY62" s="12"/>
      <x:c r="AZ62" s="12"/>
      <x:c r="BA62" s="12" t="n">
        <x:v>22</x:v>
      </x:c>
      <x:c r="BB62" s="17" t="b">
        <x:v>0</x:v>
      </x:c>
      <x:c r="BC62" s="17" t="b">
        <x:v>0</x:v>
      </x:c>
      <x:c r="BD62" s="12" t="str">
        <x:v>Cr; Mo; Nb; V; Sb; La; Pr; W; Y; La+Ce_합산; Fe; PREN; 열처리 온도(°C); Time(min); 냉각방식; 전해질 농도(wt%); 침지시간(min); 온도(°C); 기준전극; 주사속도(mV/s); Ecorr(V); icorr(A/cm2)</x:v>
      </x:c>
      <x:c r="BE62" s="12" t="str">
        <x:v>Table5 reports pitting potential and KI, not icorr. Dash Ce not converted to zero.</x:v>
      </x:c>
    </x:row>
    <x:row r="63" ht="40" customHeight="1">
      <x:c r="A63" s="12" t="n">
        <x:v>6</x:v>
      </x:c>
      <x:c r="B63" s="13" t="str">
        <x:v>EH420 해양강(Mg-Ce 처리)</x:v>
      </x:c>
      <x:c r="C63" s="13" t="str">
        <x:v>MC</x:v>
      </x:c>
      <x:c r="D63" s="14" t="n">
        <x:v>0.07</x:v>
      </x:c>
      <x:c r="E63" s="14" t="n">
        <x:v>0.38</x:v>
      </x:c>
      <x:c r="F63" s="14" t="n">
        <x:v>1.72</x:v>
      </x:c>
      <x:c r="G63" s="14" t="n">
        <x:v>0.007</x:v>
      </x:c>
      <x:c r="H63" s="14" t="n">
        <x:v>0.003</x:v>
      </x:c>
      <x:c r="I63" s="14"/>
      <x:c r="J63" s="14" t="n">
        <x:v>0.29</x:v>
      </x:c>
      <x:c r="K63" s="14"/>
      <x:c r="L63" s="14" t="n">
        <x:v>0.2</x:v>
      </x:c>
      <x:c r="M63" s="14" t="n">
        <x:v>0.0028</x:v>
      </x:c>
      <x:c r="N63" s="14"/>
      <x:c r="O63" s="14"/>
      <x:c r="P63" s="14" t="n">
        <x:v>0.01</x:v>
      </x:c>
      <x:c r="Q63" s="14" t="n">
        <x:v>0.012</x:v>
      </x:c>
      <x:c r="R63" s="14"/>
      <x:c r="S63" s="14" t="n">
        <x:v>0.014</x:v>
      </x:c>
      <x:c r="T63" s="14"/>
      <x:c r="U63" s="14"/>
      <x:c r="V63" s="14"/>
      <x:c r="W63" s="14"/>
      <x:c r="X63" s="14"/>
      <x:c r="Y63" s="12"/>
      <x:c r="Z63" s="12"/>
      <x:c r="AA63" s="15"/>
      <x:c r="AB63" s="15"/>
      <x:c r="AC63" s="12"/>
      <x:c r="AD63" s="12" t="str">
        <x:v>NaCl</x:v>
      </x:c>
      <x:c r="AE63" s="12"/>
      <x:c r="AF63" s="12"/>
      <x:c r="AG63" s="12"/>
      <x:c r="AH63" s="12"/>
      <x:c r="AI63" s="12"/>
      <x:c r="AJ63" s="12"/>
      <x:c r="AK63" s="16"/>
      <x:c r="AL63" s="16"/>
      <x:c r="AM63" s="12" t="str">
        <x:v>WM06_MC</x:v>
      </x:c>
      <x:c r="AN63" s="12" t="str">
        <x:v>10.3390/met13071244</x:v>
      </x:c>
      <x:c r="AO63" s="12" t="str">
        <x:v>https://doi.org/10.3390/met13071244</x:v>
      </x:c>
      <x:c r="AP63" s="12" t="str">
        <x:v>Table1 PDF p3; Table5 PDF p10</x:v>
      </x:c>
      <x:c r="AQ63" s="12" t="str">
        <x:v>primary_source_transcription</x:v>
      </x:c>
      <x:c r="AR63" s="12" t="str">
        <x:v>not_reported</x:v>
      </x:c>
      <x:c r="AS63" s="12"/>
      <x:c r="AT63" s="12"/>
      <x:c r="AU63" s="12"/>
      <x:c r="AV63" s="12"/>
      <x:c r="AW63" s="12"/>
      <x:c r="AX63" s="12"/>
      <x:c r="AY63" s="12"/>
      <x:c r="AZ63" s="12"/>
      <x:c r="BA63" s="12" t="n">
        <x:v>22</x:v>
      </x:c>
      <x:c r="BB63" s="17" t="b">
        <x:v>0</x:v>
      </x:c>
      <x:c r="BC63" s="17" t="b">
        <x:v>0</x:v>
      </x:c>
      <x:c r="BD63" s="12" t="str">
        <x:v>Cr; Mo; Nb; V; Sb; La; Pr; W; Y; La+Ce_합산; Fe; PREN; 열처리 온도(°C); Time(min); 냉각방식; 전해질 농도(wt%); 침지시간(min); 온도(°C); 기준전극; 주사속도(mV/s); Ecorr(V); icorr(A/cm2)</x:v>
      </x:c>
      <x:c r="BE63" s="12" t="str">
        <x:v>Table5 reports pitting potential and KI, not icorr. Dash Ce not converted to zero.</x:v>
      </x:c>
    </x:row>
    <x:row r="64" ht="40" customHeight="1">
      <x:c r="A64" s="12" t="n">
        <x:v>11</x:v>
      </x:c>
      <x:c r="B64" s="13" t="str">
        <x:v>Q370qENHY 교량용강</x:v>
      </x:c>
      <x:c r="C64" s="13" t="str">
        <x:v>1</x:v>
      </x:c>
      <x:c r="D64" s="14" t="n">
        <x:v>0.017</x:v>
      </x:c>
      <x:c r="E64" s="14" t="n">
        <x:v>0.431</x:v>
      </x:c>
      <x:c r="F64" s="14" t="n">
        <x:v>1.051</x:v>
      </x:c>
      <x:c r="G64" s="14" t="n">
        <x:v>0.027</x:v>
      </x:c>
      <x:c r="H64" s="14" t="n">
        <x:v>0.021</x:v>
      </x:c>
      <x:c r="I64" s="14"/>
      <x:c r="J64" s="14" t="n">
        <x:v>1.014</x:v>
      </x:c>
      <x:c r="K64" s="14"/>
      <x:c r="L64" s="14" t="n">
        <x:v>0.581</x:v>
      </x:c>
      <x:c r="M64" s="14"/>
      <x:c r="N64" s="14"/>
      <x:c r="O64" s="14"/>
      <x:c r="P64" s="14" t="n">
        <x:v>0.025</x:v>
      </x:c>
      <x:c r="Q64" s="14" t="n">
        <x:v>0.004</x:v>
      </x:c>
      <x:c r="R64" s="14"/>
      <x:c r="S64" s="14" t="n">
        <x:v>0</x:v>
      </x:c>
      <x:c r="T64" s="14"/>
      <x:c r="U64" s="14"/>
      <x:c r="V64" s="14"/>
      <x:c r="W64" s="14"/>
      <x:c r="X64" s="14"/>
      <x:c r="Y64" s="12"/>
      <x:c r="Z64" s="12"/>
      <x:c r="AA64" s="15"/>
      <x:c r="AB64" s="15"/>
      <x:c r="AC64" s="12"/>
      <x:c r="AD64" s="12"/>
      <x:c r="AE64" s="12"/>
      <x:c r="AF64" s="12"/>
      <x:c r="AG64" s="12"/>
      <x:c r="AH64" s="12"/>
      <x:c r="AI64" s="12"/>
      <x:c r="AJ64" s="12"/>
      <x:c r="AK64" s="16"/>
      <x:c r="AL64" s="16"/>
      <x:c r="AM64" s="12" t="str">
        <x:v>WM11_1</x:v>
      </x:c>
      <x:c r="AN64" s="12" t="str">
        <x:v>10.3390/ma18051048</x:v>
      </x:c>
      <x:c r="AO64" s="12" t="str">
        <x:v>https://doi.org/10.3390/ma18051048</x:v>
      </x:c>
      <x:c r="AP64" s="12" t="str">
        <x:v>Table1 PDF p3; results electrochemical section</x:v>
      </x:c>
      <x:c r="AQ64" s="12" t="str">
        <x:v>primary_source_transcription</x:v>
      </x:c>
      <x:c r="AR64" s="12" t="str">
        <x:v>not_reported</x:v>
      </x:c>
      <x:c r="AS64" s="12"/>
      <x:c r="AT64" s="12"/>
      <x:c r="AU64" s="12"/>
      <x:c r="AV64" s="12"/>
      <x:c r="AW64" s="12"/>
      <x:c r="AX64" s="12"/>
      <x:c r="AY64" s="12"/>
      <x:c r="AZ64" s="12"/>
      <x:c r="BA64" s="12" t="n">
        <x:v>24</x:v>
      </x:c>
      <x:c r="BB64" s="17" t="b">
        <x:v>0</x:v>
      </x:c>
      <x:c r="BC64" s="17" t="b">
        <x:v>0</x:v>
      </x:c>
      <x:c r="BD64" s="12" t="str">
        <x:v>Cr; Mo; T.N.(Total Nitrogen); Nb; V; Sb; La; Pr; W; Y; La+Ce_합산; Fe; PREN; 열처리 온도(°C); Time(min); 냉각방식; 전해질; 전해질 농도(wt%); 침지시간(min); 온도(°C); 기준전극; 주사속도(mV/s); Ecorr(V); icorr(A/cm2)</x:v>
      </x:c>
      <x:c r="BE64" s="12" t="str">
        <x:v>Standard-grade0# is bounds/ranges and excluded. No numerical icorr table recovered.</x:v>
      </x:c>
    </x:row>
    <x:row r="65" ht="40" customHeight="1">
      <x:c r="A65" s="12" t="n">
        <x:v>11</x:v>
      </x:c>
      <x:c r="B65" s="13" t="str">
        <x:v>Q370qENHY 교량용강</x:v>
      </x:c>
      <x:c r="C65" s="13" t="str">
        <x:v>2</x:v>
      </x:c>
      <x:c r="D65" s="14" t="n">
        <x:v>0.01</x:v>
      </x:c>
      <x:c r="E65" s="14" t="n">
        <x:v>0.453</x:v>
      </x:c>
      <x:c r="F65" s="14" t="n">
        <x:v>1.049</x:v>
      </x:c>
      <x:c r="G65" s="14" t="n">
        <x:v>0.022</x:v>
      </x:c>
      <x:c r="H65" s="14" t="n">
        <x:v>0.018</x:v>
      </x:c>
      <x:c r="I65" s="14"/>
      <x:c r="J65" s="14" t="n">
        <x:v>1.019</x:v>
      </x:c>
      <x:c r="K65" s="14"/>
      <x:c r="L65" s="14" t="n">
        <x:v>0.603</x:v>
      </x:c>
      <x:c r="M65" s="14"/>
      <x:c r="N65" s="14"/>
      <x:c r="O65" s="14"/>
      <x:c r="P65" s="14" t="n">
        <x:v>0.051</x:v>
      </x:c>
      <x:c r="Q65" s="14" t="n">
        <x:v>0.021</x:v>
      </x:c>
      <x:c r="R65" s="14"/>
      <x:c r="S65" s="14" t="n">
        <x:v>0.0014</x:v>
      </x:c>
      <x:c r="T65" s="14"/>
      <x:c r="U65" s="14"/>
      <x:c r="V65" s="14"/>
      <x:c r="W65" s="14"/>
      <x:c r="X65" s="14"/>
      <x:c r="Y65" s="12"/>
      <x:c r="Z65" s="12"/>
      <x:c r="AA65" s="15"/>
      <x:c r="AB65" s="15"/>
      <x:c r="AC65" s="12"/>
      <x:c r="AD65" s="12"/>
      <x:c r="AE65" s="12"/>
      <x:c r="AF65" s="12"/>
      <x:c r="AG65" s="12"/>
      <x:c r="AH65" s="12"/>
      <x:c r="AI65" s="12"/>
      <x:c r="AJ65" s="12"/>
      <x:c r="AK65" s="16"/>
      <x:c r="AL65" s="16"/>
      <x:c r="AM65" s="12" t="str">
        <x:v>WM11_2</x:v>
      </x:c>
      <x:c r="AN65" s="12" t="str">
        <x:v>10.3390/ma18051048</x:v>
      </x:c>
      <x:c r="AO65" s="12" t="str">
        <x:v>https://doi.org/10.3390/ma18051048</x:v>
      </x:c>
      <x:c r="AP65" s="12" t="str">
        <x:v>Table1 PDF p3; results electrochemical section</x:v>
      </x:c>
      <x:c r="AQ65" s="12" t="str">
        <x:v>primary_source_transcription</x:v>
      </x:c>
      <x:c r="AR65" s="12" t="str">
        <x:v>not_reported</x:v>
      </x:c>
      <x:c r="AS65" s="12"/>
      <x:c r="AT65" s="12"/>
      <x:c r="AU65" s="12"/>
      <x:c r="AV65" s="12"/>
      <x:c r="AW65" s="12"/>
      <x:c r="AX65" s="12"/>
      <x:c r="AY65" s="12"/>
      <x:c r="AZ65" s="12"/>
      <x:c r="BA65" s="12" t="n">
        <x:v>24</x:v>
      </x:c>
      <x:c r="BB65" s="17" t="b">
        <x:v>0</x:v>
      </x:c>
      <x:c r="BC65" s="17" t="b">
        <x:v>0</x:v>
      </x:c>
      <x:c r="BD65" s="12" t="str">
        <x:v>Cr; Mo; T.N.(Total Nitrogen); Nb; V; Sb; La; Pr; W; Y; La+Ce_합산; Fe; PREN; 열처리 온도(°C); Time(min); 냉각방식; 전해질; 전해질 농도(wt%); 침지시간(min); 온도(°C); 기준전극; 주사속도(mV/s); Ecorr(V); icorr(A/cm2)</x:v>
      </x:c>
      <x:c r="BE65" s="12" t="str">
        <x:v>Standard-grade0# is bounds/ranges and excluded. No numerical icorr table recovered.</x:v>
      </x:c>
    </x:row>
    <x:row r="66" ht="40" customHeight="1">
      <x:c r="A66" s="12" t="n">
        <x:v>11</x:v>
      </x:c>
      <x:c r="B66" s="13" t="str">
        <x:v>Q370qENHY 교량용강</x:v>
      </x:c>
      <x:c r="C66" s="13" t="str">
        <x:v>3</x:v>
      </x:c>
      <x:c r="D66" s="14" t="n">
        <x:v>0.014</x:v>
      </x:c>
      <x:c r="E66" s="14" t="n">
        <x:v>0.451</x:v>
      </x:c>
      <x:c r="F66" s="14" t="n">
        <x:v>1.042</x:v>
      </x:c>
      <x:c r="G66" s="14" t="n">
        <x:v>0.016</x:v>
      </x:c>
      <x:c r="H66" s="14" t="n">
        <x:v>0.019</x:v>
      </x:c>
      <x:c r="I66" s="14"/>
      <x:c r="J66" s="14" t="n">
        <x:v>1.015</x:v>
      </x:c>
      <x:c r="K66" s="14"/>
      <x:c r="L66" s="14" t="n">
        <x:v>0.615</x:v>
      </x:c>
      <x:c r="M66" s="14"/>
      <x:c r="N66" s="14"/>
      <x:c r="O66" s="14"/>
      <x:c r="P66" s="14" t="n">
        <x:v>0.054</x:v>
      </x:c>
      <x:c r="Q66" s="14" t="n">
        <x:v>0.018</x:v>
      </x:c>
      <x:c r="R66" s="14"/>
      <x:c r="S66" s="14" t="n">
        <x:v>0.0025</x:v>
      </x:c>
      <x:c r="T66" s="14"/>
      <x:c r="U66" s="14"/>
      <x:c r="V66" s="14"/>
      <x:c r="W66" s="14"/>
      <x:c r="X66" s="14"/>
      <x:c r="Y66" s="12"/>
      <x:c r="Z66" s="12"/>
      <x:c r="AA66" s="15"/>
      <x:c r="AB66" s="15"/>
      <x:c r="AC66" s="12"/>
      <x:c r="AD66" s="12"/>
      <x:c r="AE66" s="12"/>
      <x:c r="AF66" s="12"/>
      <x:c r="AG66" s="12"/>
      <x:c r="AH66" s="12"/>
      <x:c r="AI66" s="12"/>
      <x:c r="AJ66" s="12"/>
      <x:c r="AK66" s="16"/>
      <x:c r="AL66" s="16"/>
      <x:c r="AM66" s="12" t="str">
        <x:v>WM11_3</x:v>
      </x:c>
      <x:c r="AN66" s="12" t="str">
        <x:v>10.3390/ma18051048</x:v>
      </x:c>
      <x:c r="AO66" s="12" t="str">
        <x:v>https://doi.org/10.3390/ma18051048</x:v>
      </x:c>
      <x:c r="AP66" s="12" t="str">
        <x:v>Table1 PDF p3; results electrochemical section</x:v>
      </x:c>
      <x:c r="AQ66" s="12" t="str">
        <x:v>primary_source_transcription</x:v>
      </x:c>
      <x:c r="AR66" s="12" t="str">
        <x:v>not_reported</x:v>
      </x:c>
      <x:c r="AS66" s="12"/>
      <x:c r="AT66" s="12"/>
      <x:c r="AU66" s="12"/>
      <x:c r="AV66" s="12"/>
      <x:c r="AW66" s="12"/>
      <x:c r="AX66" s="12"/>
      <x:c r="AY66" s="12"/>
      <x:c r="AZ66" s="12"/>
      <x:c r="BA66" s="12" t="n">
        <x:v>24</x:v>
      </x:c>
      <x:c r="BB66" s="17" t="b">
        <x:v>0</x:v>
      </x:c>
      <x:c r="BC66" s="17" t="b">
        <x:v>0</x:v>
      </x:c>
      <x:c r="BD66" s="12" t="str">
        <x:v>Cr; Mo; T.N.(Total Nitrogen); Nb; V; Sb; La; Pr; W; Y; La+Ce_합산; Fe; PREN; 열처리 온도(°C); Time(min); 냉각방식; 전해질; 전해질 농도(wt%); 침지시간(min); 온도(°C); 기준전극; 주사속도(mV/s); Ecorr(V); icorr(A/cm2)</x:v>
      </x:c>
      <x:c r="BE66" s="12" t="str">
        <x:v>Standard-grade0# is bounds/ranges and excluded. No numerical icorr table recovered.</x:v>
      </x:c>
    </x:row>
    <x:row r="67" ht="40" customHeight="1">
      <x:c r="A67" s="12" t="n">
        <x:v>2</x:v>
      </x:c>
      <x:c r="B67" s="13" t="str">
        <x:v>10Ch20N9G6 오스테나이트계 용접금속</x:v>
      </x:c>
      <x:c r="C67" s="13" t="str">
        <x:v>unmodified</x:v>
      </x:c>
      <x:c r="D67" s="14" t="n">
        <x:v>0.11</x:v>
      </x:c>
      <x:c r="E67" s="14" t="n">
        <x:v>0.9</x:v>
      </x:c>
      <x:c r="F67" s="14" t="n">
        <x:v>5.3</x:v>
      </x:c>
      <x:c r="G67" s="14" t="n">
        <x:v>0.019</x:v>
      </x:c>
      <x:c r="H67" s="14" t="n">
        <x:v>0.011</x:v>
      </x:c>
      <x:c r="I67" s="14" t="n">
        <x:v>19.3</x:v>
      </x:c>
      <x:c r="J67" s="14" t="n">
        <x:v>9</x:v>
      </x:c>
      <x:c r="K67" s="14"/>
      <x:c r="L67" s="14"/>
      <x:c r="M67" s="14"/>
      <x:c r="N67" s="14"/>
      <x:c r="O67" s="14"/>
      <x:c r="P67" s="14" t="n">
        <x:v>0.09</x:v>
      </x:c>
      <x:c r="Q67" s="14"/>
      <x:c r="R67" s="14"/>
      <x:c r="S67" s="14"/>
      <x:c r="T67" s="14"/>
      <x:c r="U67" s="14"/>
      <x:c r="V67" s="14"/>
      <x:c r="W67" s="14"/>
      <x:c r="X67" s="14"/>
      <x:c r="Y67" s="12"/>
      <x:c r="Z67" s="12"/>
      <x:c r="AA67" s="15"/>
      <x:c r="AB67" s="15"/>
      <x:c r="AC67" s="12"/>
      <x:c r="AD67" s="12" t="str">
        <x:v>H2SO4</x:v>
      </x:c>
      <x:c r="AE67" s="12"/>
      <x:c r="AF67" s="12"/>
      <x:c r="AG67" s="12"/>
      <x:c r="AH67" s="12" t="n">
        <x:v>60</x:v>
      </x:c>
      <x:c r="AI67" s="12" t="str">
        <x:v>AgAgCl</x:v>
      </x:c>
      <x:c r="AJ67" s="12"/>
      <x:c r="AK67" s="16"/>
      <x:c r="AL67" s="16"/>
      <x:c r="AM67" s="12" t="str">
        <x:v>WM02_unmodified</x:v>
      </x:c>
      <x:c r="AN67" s="12" t="str">
        <x:v>10.3390/electrochem7010003</x:v>
      </x:c>
      <x:c r="AO67" s="12" t="str">
        <x:v>https://doi.org/10.3390/electrochem7010003</x:v>
      </x:c>
      <x:c r="AP67" s="12" t="str">
        <x:v>Table1 PDF pp3-4; Table2 p6</x:v>
      </x:c>
      <x:c r="AQ67" s="12" t="str">
        <x:v>primary_source_transcription</x:v>
      </x:c>
      <x:c r="AR67" s="12" t="str">
        <x:v>not_reported</x:v>
      </x:c>
      <x:c r="AS67" s="12"/>
      <x:c r="AT67" s="12"/>
      <x:c r="AU67" s="12" t="str">
        <x:v>1 mol/L H2SO4</x:v>
      </x:c>
      <x:c r="AV67" s="12"/>
      <x:c r="AW67" s="12"/>
      <x:c r="AX67" s="12"/>
      <x:c r="AY67" s="12"/>
      <x:c r="AZ67" s="12"/>
      <x:c r="BA67" s="12" t="n">
        <x:v>23</x:v>
      </x:c>
      <x:c r="BB67" s="17" t="b">
        <x:v>0</x:v>
      </x:c>
      <x:c r="BC67" s="17" t="b">
        <x:v>0</x:v>
      </x:c>
      <x:c r="BD67" s="12" t="str">
        <x:v>Mo; Cu; T.N.(Total Nitrogen); Nb; V; Al; Sb; Ce; La; Pr; W; Y; La+Ce_합산; Fe; PREN; 열처리 온도(°C); Time(min); 냉각방식; 전해질 농도(wt%); 침지시간(min); 주사속도(mV/s); Ecorr(V); icorr(A/cm2)</x:v>
      </x:c>
      <x:c r="BE67" s="12" t="str">
        <x:v>Composition is surfaced-metal common chemistry. Table2 is mass-loss corrosion rate and hydrogen-evolution Tafel constants, not icorr. Coating1%Y is not bulk Y.</x:v>
      </x:c>
    </x:row>
    <x:row r="68" ht="40" customHeight="1">
      <x:c r="A68" s="12" t="n">
        <x:v>2</x:v>
      </x:c>
      <x:c r="B68" s="13" t="str">
        <x:v>10Ch20N9G6 오스테나이트계 용접금속</x:v>
      </x:c>
      <x:c r="C68" s="13" t="str">
        <x:v>Y_electrode</x:v>
      </x:c>
      <x:c r="D68" s="14" t="n">
        <x:v>0.11</x:v>
      </x:c>
      <x:c r="E68" s="14" t="n">
        <x:v>0.9</x:v>
      </x:c>
      <x:c r="F68" s="14" t="n">
        <x:v>5.3</x:v>
      </x:c>
      <x:c r="G68" s="14" t="n">
        <x:v>0.019</x:v>
      </x:c>
      <x:c r="H68" s="14" t="n">
        <x:v>0.011</x:v>
      </x:c>
      <x:c r="I68" s="14" t="n">
        <x:v>19.3</x:v>
      </x:c>
      <x:c r="J68" s="14" t="n">
        <x:v>9</x:v>
      </x:c>
      <x:c r="K68" s="14"/>
      <x:c r="L68" s="14"/>
      <x:c r="M68" s="14"/>
      <x:c r="N68" s="14"/>
      <x:c r="O68" s="14"/>
      <x:c r="P68" s="14" t="n">
        <x:v>0.09</x:v>
      </x:c>
      <x:c r="Q68" s="14"/>
      <x:c r="R68" s="14"/>
      <x:c r="S68" s="14"/>
      <x:c r="T68" s="14"/>
      <x:c r="U68" s="14"/>
      <x:c r="V68" s="14"/>
      <x:c r="W68" s="14" t="n">
        <x:v>0.0023</x:v>
      </x:c>
      <x:c r="X68" s="14"/>
      <x:c r="Y68" s="12"/>
      <x:c r="Z68" s="12"/>
      <x:c r="AA68" s="15"/>
      <x:c r="AB68" s="15"/>
      <x:c r="AC68" s="12"/>
      <x:c r="AD68" s="12" t="str">
        <x:v>H2SO4</x:v>
      </x:c>
      <x:c r="AE68" s="12"/>
      <x:c r="AF68" s="12"/>
      <x:c r="AG68" s="12"/>
      <x:c r="AH68" s="12" t="n">
        <x:v>60</x:v>
      </x:c>
      <x:c r="AI68" s="12" t="str">
        <x:v>AgAgCl</x:v>
      </x:c>
      <x:c r="AJ68" s="12"/>
      <x:c r="AK68" s="16"/>
      <x:c r="AL68" s="16"/>
      <x:c r="AM68" s="12" t="str">
        <x:v>WM02_Y_electrode</x:v>
      </x:c>
      <x:c r="AN68" s="12" t="str">
        <x:v>10.3390/electrochem7010003</x:v>
      </x:c>
      <x:c r="AO68" s="12" t="str">
        <x:v>https://doi.org/10.3390/electrochem7010003</x:v>
      </x:c>
      <x:c r="AP68" s="12" t="str">
        <x:v>Table1 PDF pp3-4; Table2 p6</x:v>
      </x:c>
      <x:c r="AQ68" s="12" t="str">
        <x:v>primary_source_transcription</x:v>
      </x:c>
      <x:c r="AR68" s="12" t="str">
        <x:v>not_reported</x:v>
      </x:c>
      <x:c r="AS68" s="12"/>
      <x:c r="AT68" s="12"/>
      <x:c r="AU68" s="12" t="str">
        <x:v>1 mol/L H2SO4</x:v>
      </x:c>
      <x:c r="AV68" s="12"/>
      <x:c r="AW68" s="12"/>
      <x:c r="AX68" s="12"/>
      <x:c r="AY68" s="12"/>
      <x:c r="AZ68" s="12"/>
      <x:c r="BA68" s="12" t="n">
        <x:v>22</x:v>
      </x:c>
      <x:c r="BB68" s="17" t="b">
        <x:v>0</x:v>
      </x:c>
      <x:c r="BC68" s="17" t="b">
        <x:v>0</x:v>
      </x:c>
      <x:c r="BD68" s="12" t="str">
        <x:v>Mo; Cu; T.N.(Total Nitrogen); Nb; V; Al; Sb; Ce; La; Pr; W; La+Ce_합산; Fe; PREN; 열처리 온도(°C); Time(min); 냉각방식; 전해질 농도(wt%); 침지시간(min); 주사속도(mV/s); Ecorr(V); icorr(A/cm2)</x:v>
      </x:c>
      <x:c r="BE68" s="12" t="str">
        <x:v>Composition is surfaced-metal common chemistry. Table2 is mass-loss corrosion rate and hydrogen-evolution Tafel constants, not icorr. Coating1%Y is not bulk Y.</x:v>
      </x:c>
    </x:row>
    <x:row r="69" ht="40" customHeight="1">
      <x:c r="A69" s="12" t="n">
        <x:v>2</x:v>
      </x:c>
      <x:c r="B69" s="13" t="str">
        <x:v>10Ch20N9G6 오스테나이트계 용접금속</x:v>
      </x:c>
      <x:c r="C69" s="13" t="str">
        <x:v>Y2O3_electrode</x:v>
      </x:c>
      <x:c r="D69" s="14" t="n">
        <x:v>0.11</x:v>
      </x:c>
      <x:c r="E69" s="14" t="n">
        <x:v>0.9</x:v>
      </x:c>
      <x:c r="F69" s="14" t="n">
        <x:v>5.3</x:v>
      </x:c>
      <x:c r="G69" s="14" t="n">
        <x:v>0.019</x:v>
      </x:c>
      <x:c r="H69" s="14" t="n">
        <x:v>0.011</x:v>
      </x:c>
      <x:c r="I69" s="14" t="n">
        <x:v>19.3</x:v>
      </x:c>
      <x:c r="J69" s="14" t="n">
        <x:v>9</x:v>
      </x:c>
      <x:c r="K69" s="14"/>
      <x:c r="L69" s="14"/>
      <x:c r="M69" s="14"/>
      <x:c r="N69" s="14"/>
      <x:c r="O69" s="14"/>
      <x:c r="P69" s="14" t="n">
        <x:v>0.09</x:v>
      </x:c>
      <x:c r="Q69" s="14"/>
      <x:c r="R69" s="14"/>
      <x:c r="S69" s="14"/>
      <x:c r="T69" s="14"/>
      <x:c r="U69" s="14"/>
      <x:c r="V69" s="14"/>
      <x:c r="W69" s="14" t="n">
        <x:v>0.0018</x:v>
      </x:c>
      <x:c r="X69" s="14"/>
      <x:c r="Y69" s="12"/>
      <x:c r="Z69" s="12"/>
      <x:c r="AA69" s="15"/>
      <x:c r="AB69" s="15"/>
      <x:c r="AC69" s="12"/>
      <x:c r="AD69" s="12" t="str">
        <x:v>H2SO4</x:v>
      </x:c>
      <x:c r="AE69" s="12"/>
      <x:c r="AF69" s="12"/>
      <x:c r="AG69" s="12"/>
      <x:c r="AH69" s="12" t="n">
        <x:v>60</x:v>
      </x:c>
      <x:c r="AI69" s="12" t="str">
        <x:v>AgAgCl</x:v>
      </x:c>
      <x:c r="AJ69" s="12"/>
      <x:c r="AK69" s="16"/>
      <x:c r="AL69" s="16"/>
      <x:c r="AM69" s="12" t="str">
        <x:v>WM02_Y2O3_electrode</x:v>
      </x:c>
      <x:c r="AN69" s="12" t="str">
        <x:v>10.3390/electrochem7010003</x:v>
      </x:c>
      <x:c r="AO69" s="12" t="str">
        <x:v>https://doi.org/10.3390/electrochem7010003</x:v>
      </x:c>
      <x:c r="AP69" s="12" t="str">
        <x:v>Table1 PDF pp3-4; Table2 p6</x:v>
      </x:c>
      <x:c r="AQ69" s="12" t="str">
        <x:v>primary_source_transcription</x:v>
      </x:c>
      <x:c r="AR69" s="12" t="str">
        <x:v>not_reported</x:v>
      </x:c>
      <x:c r="AS69" s="12"/>
      <x:c r="AT69" s="12"/>
      <x:c r="AU69" s="12" t="str">
        <x:v>1 mol/L H2SO4</x:v>
      </x:c>
      <x:c r="AV69" s="12"/>
      <x:c r="AW69" s="12"/>
      <x:c r="AX69" s="12"/>
      <x:c r="AY69" s="12"/>
      <x:c r="AZ69" s="12"/>
      <x:c r="BA69" s="12" t="n">
        <x:v>22</x:v>
      </x:c>
      <x:c r="BB69" s="17" t="b">
        <x:v>0</x:v>
      </x:c>
      <x:c r="BC69" s="17" t="b">
        <x:v>0</x:v>
      </x:c>
      <x:c r="BD69" s="12" t="str">
        <x:v>Mo; Cu; T.N.(Total Nitrogen); Nb; V; Al; Sb; Ce; La; Pr; W; La+Ce_합산; Fe; PREN; 열처리 온도(°C); Time(min); 냉각방식; 전해질 농도(wt%); 침지시간(min); 주사속도(mV/s); Ecorr(V); icorr(A/cm2)</x:v>
      </x:c>
      <x:c r="BE69" s="12" t="str">
        <x:v>Composition is surfaced-metal common chemistry. Table2 is mass-loss corrosion rate and hydrogen-evolution Tafel constants, not icorr. Coating1%Y is not bulk Y.</x:v>
      </x:c>
    </x:row>
    <x:row r="70" ht="40" customHeight="1">
      <x:c r="A70" s="12" t="n">
        <x:v>32</x:v>
      </x:c>
      <x:c r="B70" s="13" t="str">
        <x:v>HRB400 철근강 (Cr 0.5%, La-Ce 혼합희토류 0.018% 첨가)</x:v>
      </x:c>
      <x:c r="C70" s="13" t="str">
        <x:v>HRB400_0.5NaCl</x:v>
      </x:c>
      <x:c r="D70" s="14" t="n">
        <x:v>0.24</x:v>
      </x:c>
      <x:c r="E70" s="14" t="n">
        <x:v>0.5</x:v>
      </x:c>
      <x:c r="F70" s="14" t="n">
        <x:v>1.5</x:v>
      </x:c>
      <x:c r="G70" s="14" t="n">
        <x:v>0.006</x:v>
      </x:c>
      <x:c r="H70" s="14" t="n">
        <x:v>0.06</x:v>
      </x:c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2" t="str">
        <x:v>Balance</x:v>
      </x:c>
      <x:c r="Z70" s="12"/>
      <x:c r="AA70" s="15"/>
      <x:c r="AB70" s="15"/>
      <x:c r="AC70" s="12"/>
      <x:c r="AD70" s="12" t="str">
        <x:v>CaOH2_NaCl</x:v>
      </x:c>
      <x:c r="AE70" s="12" t="n">
        <x:v>0.5</x:v>
      </x:c>
      <x:c r="AF70" s="12"/>
      <x:c r="AG70" s="12"/>
      <x:c r="AH70" s="12" t="n">
        <x:v>25</x:v>
      </x:c>
      <x:c r="AI70" s="12" t="str">
        <x:v>SCE</x:v>
      </x:c>
      <x:c r="AJ70" s="12" t="n">
        <x:v>0.33</x:v>
      </x:c>
      <x:c r="AK70" s="16"/>
      <x:c r="AL70" s="16"/>
      <x:c r="AM70" s="12" t="str">
        <x:v>WM32_HRB400_0.5NaCl</x:v>
      </x:c>
      <x:c r="AN70" s="12" t="str">
        <x:v>10.1038/s41529-026-00746-3</x:v>
      </x:c>
      <x:c r="AO70" s="12" t="str">
        <x:v>https://doi.org/10.1038/s41529-026-00746-3</x:v>
      </x:c>
      <x:c r="AP70" s="12" t="str">
        <x:v>Table3 PDF p12; methods pp11-12; Table1 p3</x:v>
      </x:c>
      <x:c r="AQ70" s="12" t="str">
        <x:v>primary_source_transcription</x:v>
      </x:c>
      <x:c r="AR70" s="12" t="str">
        <x:v>not_reported</x:v>
      </x:c>
      <x:c r="AS70" s="12"/>
      <x:c r="AT70" s="12"/>
      <x:c r="AU70" s="12"/>
      <x:c r="AV70" s="12"/>
      <x:c r="AW70" s="12"/>
      <x:c r="AX70" s="12"/>
      <x:c r="AY70" s="12"/>
      <x:c r="AZ70" s="12"/>
      <x:c r="BA70" s="12" t="n">
        <x:v>23</x:v>
      </x:c>
      <x:c r="BB70" s="17" t="b">
        <x:v>0</x:v>
      </x:c>
      <x:c r="BC70" s="17" t="b">
        <x:v>0</x:v>
      </x:c>
      <x:c r="BD70" s="12" t="str">
        <x:v>Cr; Ni; Mo; Cu; T.N.(Total Nitrogen); Nb; V; Ti; Al; Sb; Ce; La; Pr; W; Y; La+Ce_합산; PREN; 열처리 온도(°C); Time(min); 냉각방식; 침지시간(min); Ecorr(V); icorr(A/cm2)</x:v>
      </x:c>
      <x:c r="BE70" s="12" t="str">
        <x:v>Table1 Ipass is passive current, not corrosion current. P/S retained as printed (S0.06/0.08wt%). TotalCeLa only; no invented individual fractions.</x:v>
      </x:c>
    </x:row>
    <x:row r="71" ht="40" customHeight="1">
      <x:c r="A71" s="12" t="n">
        <x:v>32</x:v>
      </x:c>
      <x:c r="B71" s="13" t="str">
        <x:v>HRB400 철근강 (Cr 0.5%, La-Ce 혼합희토류 0.018% 첨가)</x:v>
      </x:c>
      <x:c r="C71" s="13" t="str">
        <x:v>HRB400_1NaCl</x:v>
      </x:c>
      <x:c r="D71" s="14" t="n">
        <x:v>0.24</x:v>
      </x:c>
      <x:c r="E71" s="14" t="n">
        <x:v>0.5</x:v>
      </x:c>
      <x:c r="F71" s="14" t="n">
        <x:v>1.5</x:v>
      </x:c>
      <x:c r="G71" s="14" t="n">
        <x:v>0.006</x:v>
      </x:c>
      <x:c r="H71" s="14" t="n">
        <x:v>0.06</x:v>
      </x:c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2" t="str">
        <x:v>Balance</x:v>
      </x:c>
      <x:c r="Z71" s="12"/>
      <x:c r="AA71" s="15"/>
      <x:c r="AB71" s="15"/>
      <x:c r="AC71" s="12"/>
      <x:c r="AD71" s="12" t="str">
        <x:v>CaOH2_NaCl</x:v>
      </x:c>
      <x:c r="AE71" s="12" t="n">
        <x:v>1</x:v>
      </x:c>
      <x:c r="AF71" s="12"/>
      <x:c r="AG71" s="12"/>
      <x:c r="AH71" s="12" t="n">
        <x:v>25</x:v>
      </x:c>
      <x:c r="AI71" s="12" t="str">
        <x:v>SCE</x:v>
      </x:c>
      <x:c r="AJ71" s="12" t="n">
        <x:v>0.33</x:v>
      </x:c>
      <x:c r="AK71" s="16"/>
      <x:c r="AL71" s="16"/>
      <x:c r="AM71" s="12" t="str">
        <x:v>WM32_HRB400_1NaCl</x:v>
      </x:c>
      <x:c r="AN71" s="12" t="str">
        <x:v>10.1038/s41529-026-00746-3</x:v>
      </x:c>
      <x:c r="AO71" s="12" t="str">
        <x:v>https://doi.org/10.1038/s41529-026-00746-3</x:v>
      </x:c>
      <x:c r="AP71" s="12" t="str">
        <x:v>Table3 PDF p12; methods pp11-12; Table1 p3</x:v>
      </x:c>
      <x:c r="AQ71" s="12" t="str">
        <x:v>primary_source_transcription</x:v>
      </x:c>
      <x:c r="AR71" s="12" t="str">
        <x:v>not_reported</x:v>
      </x:c>
      <x:c r="AS71" s="12"/>
      <x:c r="AT71" s="12"/>
      <x:c r="AU71" s="12"/>
      <x:c r="AV71" s="12"/>
      <x:c r="AW71" s="12"/>
      <x:c r="AX71" s="12"/>
      <x:c r="AY71" s="12"/>
      <x:c r="AZ71" s="12"/>
      <x:c r="BA71" s="12" t="n">
        <x:v>23</x:v>
      </x:c>
      <x:c r="BB71" s="17" t="b">
        <x:v>0</x:v>
      </x:c>
      <x:c r="BC71" s="17" t="b">
        <x:v>0</x:v>
      </x:c>
      <x:c r="BD71" s="12" t="str">
        <x:v>Cr; Ni; Mo; Cu; T.N.(Total Nitrogen); Nb; V; Ti; Al; Sb; Ce; La; Pr; W; Y; La+Ce_합산; PREN; 열처리 온도(°C); Time(min); 냉각방식; 침지시간(min); Ecorr(V); icorr(A/cm2)</x:v>
      </x:c>
      <x:c r="BE71" s="12" t="str">
        <x:v>Table1 Ipass is passive current, not corrosion current. P/S retained as printed (S0.06/0.08wt%). TotalCeLa only; no invented individual fractions.</x:v>
      </x:c>
    </x:row>
    <x:row r="72" ht="40" customHeight="1">
      <x:c r="A72" s="12" t="n">
        <x:v>32</x:v>
      </x:c>
      <x:c r="B72" s="13" t="str">
        <x:v>HRB400 철근강 (Cr 0.5%, La-Ce 혼합희토류 0.018% 첨가)</x:v>
      </x:c>
      <x:c r="C72" s="13" t="str">
        <x:v>HRB400_2NaCl</x:v>
      </x:c>
      <x:c r="D72" s="14" t="n">
        <x:v>0.24</x:v>
      </x:c>
      <x:c r="E72" s="14" t="n">
        <x:v>0.5</x:v>
      </x:c>
      <x:c r="F72" s="14" t="n">
        <x:v>1.5</x:v>
      </x:c>
      <x:c r="G72" s="14" t="n">
        <x:v>0.006</x:v>
      </x:c>
      <x:c r="H72" s="14" t="n">
        <x:v>0.06</x:v>
      </x:c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2" t="str">
        <x:v>Balance</x:v>
      </x:c>
      <x:c r="Z72" s="12"/>
      <x:c r="AA72" s="15"/>
      <x:c r="AB72" s="15"/>
      <x:c r="AC72" s="12"/>
      <x:c r="AD72" s="12" t="str">
        <x:v>CaOH2_NaCl</x:v>
      </x:c>
      <x:c r="AE72" s="12" t="n">
        <x:v>2</x:v>
      </x:c>
      <x:c r="AF72" s="12"/>
      <x:c r="AG72" s="12"/>
      <x:c r="AH72" s="12" t="n">
        <x:v>25</x:v>
      </x:c>
      <x:c r="AI72" s="12" t="str">
        <x:v>SCE</x:v>
      </x:c>
      <x:c r="AJ72" s="12" t="n">
        <x:v>0.33</x:v>
      </x:c>
      <x:c r="AK72" s="16"/>
      <x:c r="AL72" s="16"/>
      <x:c r="AM72" s="12" t="str">
        <x:v>WM32_HRB400_2NaCl</x:v>
      </x:c>
      <x:c r="AN72" s="12" t="str">
        <x:v>10.1038/s41529-026-00746-3</x:v>
      </x:c>
      <x:c r="AO72" s="12" t="str">
        <x:v>https://doi.org/10.1038/s41529-026-00746-3</x:v>
      </x:c>
      <x:c r="AP72" s="12" t="str">
        <x:v>Table3 PDF p12; methods pp11-12; Table1 p3</x:v>
      </x:c>
      <x:c r="AQ72" s="12" t="str">
        <x:v>primary_source_transcription</x:v>
      </x:c>
      <x:c r="AR72" s="12" t="str">
        <x:v>not_reported</x:v>
      </x:c>
      <x:c r="AS72" s="12"/>
      <x:c r="AT72" s="12"/>
      <x:c r="AU72" s="12"/>
      <x:c r="AV72" s="12"/>
      <x:c r="AW72" s="12"/>
      <x:c r="AX72" s="12"/>
      <x:c r="AY72" s="12"/>
      <x:c r="AZ72" s="12"/>
      <x:c r="BA72" s="12" t="n">
        <x:v>23</x:v>
      </x:c>
      <x:c r="BB72" s="17" t="b">
        <x:v>0</x:v>
      </x:c>
      <x:c r="BC72" s="17" t="b">
        <x:v>0</x:v>
      </x:c>
      <x:c r="BD72" s="12" t="str">
        <x:v>Cr; Ni; Mo; Cu; T.N.(Total Nitrogen); Nb; V; Ti; Al; Sb; Ce; La; Pr; W; Y; La+Ce_합산; PREN; 열처리 온도(°C); Time(min); 냉각방식; 침지시간(min); Ecorr(V); icorr(A/cm2)</x:v>
      </x:c>
      <x:c r="BE72" s="12" t="str">
        <x:v>Table1 Ipass is passive current, not corrosion current. P/S retained as printed (S0.06/0.08wt%). TotalCeLa only; no invented individual fractions.</x:v>
      </x:c>
    </x:row>
    <x:row r="73" ht="40" customHeight="1">
      <x:c r="A73" s="12" t="n">
        <x:v>32</x:v>
      </x:c>
      <x:c r="B73" s="13" t="str">
        <x:v>HRB400 철근강 (Cr 0.5%, La-Ce 혼합희토류 0.018% 첨가)</x:v>
      </x:c>
      <x:c r="C73" s="13" t="str">
        <x:v>HRB400_3.5NaCl</x:v>
      </x:c>
      <x:c r="D73" s="14" t="n">
        <x:v>0.24</x:v>
      </x:c>
      <x:c r="E73" s="14" t="n">
        <x:v>0.5</x:v>
      </x:c>
      <x:c r="F73" s="14" t="n">
        <x:v>1.5</x:v>
      </x:c>
      <x:c r="G73" s="14" t="n">
        <x:v>0.006</x:v>
      </x:c>
      <x:c r="H73" s="14" t="n">
        <x:v>0.06</x:v>
      </x:c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2" t="str">
        <x:v>Balance</x:v>
      </x:c>
      <x:c r="Z73" s="12"/>
      <x:c r="AA73" s="15"/>
      <x:c r="AB73" s="15"/>
      <x:c r="AC73" s="12"/>
      <x:c r="AD73" s="12" t="str">
        <x:v>CaOH2_NaCl</x:v>
      </x:c>
      <x:c r="AE73" s="12" t="n">
        <x:v>3.5</x:v>
      </x:c>
      <x:c r="AF73" s="12"/>
      <x:c r="AG73" s="12"/>
      <x:c r="AH73" s="12" t="n">
        <x:v>25</x:v>
      </x:c>
      <x:c r="AI73" s="12" t="str">
        <x:v>SCE</x:v>
      </x:c>
      <x:c r="AJ73" s="12" t="n">
        <x:v>0.33</x:v>
      </x:c>
      <x:c r="AK73" s="16"/>
      <x:c r="AL73" s="16"/>
      <x:c r="AM73" s="12" t="str">
        <x:v>WM32_HRB400_3.5NaCl</x:v>
      </x:c>
      <x:c r="AN73" s="12" t="str">
        <x:v>10.1038/s41529-026-00746-3</x:v>
      </x:c>
      <x:c r="AO73" s="12" t="str">
        <x:v>https://doi.org/10.1038/s41529-026-00746-3</x:v>
      </x:c>
      <x:c r="AP73" s="12" t="str">
        <x:v>Table3 PDF p12; methods pp11-12; Table1 p3</x:v>
      </x:c>
      <x:c r="AQ73" s="12" t="str">
        <x:v>primary_source_transcription</x:v>
      </x:c>
      <x:c r="AR73" s="12" t="str">
        <x:v>not_reported</x:v>
      </x:c>
      <x:c r="AS73" s="12"/>
      <x:c r="AT73" s="12"/>
      <x:c r="AU73" s="12"/>
      <x:c r="AV73" s="12"/>
      <x:c r="AW73" s="12"/>
      <x:c r="AX73" s="12"/>
      <x:c r="AY73" s="12"/>
      <x:c r="AZ73" s="12"/>
      <x:c r="BA73" s="12" t="n">
        <x:v>23</x:v>
      </x:c>
      <x:c r="BB73" s="17" t="b">
        <x:v>0</x:v>
      </x:c>
      <x:c r="BC73" s="17" t="b">
        <x:v>0</x:v>
      </x:c>
      <x:c r="BD73" s="12" t="str">
        <x:v>Cr; Ni; Mo; Cu; T.N.(Total Nitrogen); Nb; V; Ti; Al; Sb; Ce; La; Pr; W; Y; La+Ce_합산; PREN; 열처리 온도(°C); Time(min); 냉각방식; 침지시간(min); Ecorr(V); icorr(A/cm2)</x:v>
      </x:c>
      <x:c r="BE73" s="12" t="str">
        <x:v>Table1 Ipass is passive current, not corrosion current. P/S retained as printed (S0.06/0.08wt%). TotalCeLa only; no invented individual fractions.</x:v>
      </x:c>
    </x:row>
    <x:row r="74" ht="40" customHeight="1">
      <x:c r="A74" s="12" t="n">
        <x:v>32</x:v>
      </x:c>
      <x:c r="B74" s="13" t="str">
        <x:v>HRB400 철근강 (Cr 0.5%, La-Ce 혼합희토류 0.018% 첨가)</x:v>
      </x:c>
      <x:c r="C74" s="13" t="str">
        <x:v>HRB400-Cr_0.5NaCl</x:v>
      </x:c>
      <x:c r="D74" s="14" t="n">
        <x:v>0.12</x:v>
      </x:c>
      <x:c r="E74" s="14" t="n">
        <x:v>0.5</x:v>
      </x:c>
      <x:c r="F74" s="14" t="n">
        <x:v>1.4</x:v>
      </x:c>
      <x:c r="G74" s="14" t="n">
        <x:v>0.007</x:v>
      </x:c>
      <x:c r="H74" s="14" t="n">
        <x:v>0.08</x:v>
      </x:c>
      <x:c r="I74" s="14" t="n">
        <x:v>0.5</x:v>
      </x:c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2" t="str">
        <x:v>Balance</x:v>
      </x:c>
      <x:c r="Z74" s="12"/>
      <x:c r="AA74" s="15"/>
      <x:c r="AB74" s="15"/>
      <x:c r="AC74" s="12"/>
      <x:c r="AD74" s="12" t="str">
        <x:v>CaOH2_NaCl</x:v>
      </x:c>
      <x:c r="AE74" s="12" t="n">
        <x:v>0.5</x:v>
      </x:c>
      <x:c r="AF74" s="12"/>
      <x:c r="AG74" s="12"/>
      <x:c r="AH74" s="12" t="n">
        <x:v>25</x:v>
      </x:c>
      <x:c r="AI74" s="12" t="str">
        <x:v>SCE</x:v>
      </x:c>
      <x:c r="AJ74" s="12" t="n">
        <x:v>0.33</x:v>
      </x:c>
      <x:c r="AK74" s="16"/>
      <x:c r="AL74" s="16"/>
      <x:c r="AM74" s="12" t="str">
        <x:v>WM32_HRB400-Cr_0.5NaCl</x:v>
      </x:c>
      <x:c r="AN74" s="12" t="str">
        <x:v>10.1038/s41529-026-00746-3</x:v>
      </x:c>
      <x:c r="AO74" s="12" t="str">
        <x:v>https://doi.org/10.1038/s41529-026-00746-3</x:v>
      </x:c>
      <x:c r="AP74" s="12" t="str">
        <x:v>Table3 PDF p12; methods pp11-12; Table1 p3</x:v>
      </x:c>
      <x:c r="AQ74" s="12" t="str">
        <x:v>primary_source_transcription</x:v>
      </x:c>
      <x:c r="AR74" s="12" t="str">
        <x:v>not_reported</x:v>
      </x:c>
      <x:c r="AS74" s="12"/>
      <x:c r="AT74" s="12"/>
      <x:c r="AU74" s="12"/>
      <x:c r="AV74" s="12"/>
      <x:c r="AW74" s="12"/>
      <x:c r="AX74" s="12"/>
      <x:c r="AY74" s="12"/>
      <x:c r="AZ74" s="12"/>
      <x:c r="BA74" s="12" t="n">
        <x:v>22</x:v>
      </x:c>
      <x:c r="BB74" s="17" t="b">
        <x:v>0</x:v>
      </x:c>
      <x:c r="BC74" s="17" t="b">
        <x:v>0</x:v>
      </x:c>
      <x:c r="BD74" s="12" t="str">
        <x:v>Ni; Mo; Cu; T.N.(Total Nitrogen); Nb; V; Ti; Al; Sb; Ce; La; Pr; W; Y; La+Ce_합산; PREN; 열처리 온도(°C); Time(min); 냉각방식; 침지시간(min); Ecorr(V); icorr(A/cm2)</x:v>
      </x:c>
      <x:c r="BE74" s="12" t="str">
        <x:v>Table1 Ipass is passive current, not corrosion current. P/S retained as printed (S0.06/0.08wt%). TotalCeLa only; no invented individual fractions.</x:v>
      </x:c>
    </x:row>
    <x:row r="75" ht="40" customHeight="1">
      <x:c r="A75" s="12" t="n">
        <x:v>32</x:v>
      </x:c>
      <x:c r="B75" s="13" t="str">
        <x:v>HRB400 철근강 (Cr 0.5%, La-Ce 혼합희토류 0.018% 첨가)</x:v>
      </x:c>
      <x:c r="C75" s="13" t="str">
        <x:v>HRB400-Cr_1NaCl</x:v>
      </x:c>
      <x:c r="D75" s="14" t="n">
        <x:v>0.12</x:v>
      </x:c>
      <x:c r="E75" s="14" t="n">
        <x:v>0.5</x:v>
      </x:c>
      <x:c r="F75" s="14" t="n">
        <x:v>1.4</x:v>
      </x:c>
      <x:c r="G75" s="14" t="n">
        <x:v>0.007</x:v>
      </x:c>
      <x:c r="H75" s="14" t="n">
        <x:v>0.08</x:v>
      </x:c>
      <x:c r="I75" s="14" t="n">
        <x:v>0.5</x:v>
      </x:c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2" t="str">
        <x:v>Balance</x:v>
      </x:c>
      <x:c r="Z75" s="12"/>
      <x:c r="AA75" s="15"/>
      <x:c r="AB75" s="15"/>
      <x:c r="AC75" s="12"/>
      <x:c r="AD75" s="12" t="str">
        <x:v>CaOH2_NaCl</x:v>
      </x:c>
      <x:c r="AE75" s="12" t="n">
        <x:v>1</x:v>
      </x:c>
      <x:c r="AF75" s="12"/>
      <x:c r="AG75" s="12"/>
      <x:c r="AH75" s="12" t="n">
        <x:v>25</x:v>
      </x:c>
      <x:c r="AI75" s="12" t="str">
        <x:v>SCE</x:v>
      </x:c>
      <x:c r="AJ75" s="12" t="n">
        <x:v>0.33</x:v>
      </x:c>
      <x:c r="AK75" s="16"/>
      <x:c r="AL75" s="16"/>
      <x:c r="AM75" s="12" t="str">
        <x:v>WM32_HRB400-Cr_1NaCl</x:v>
      </x:c>
      <x:c r="AN75" s="12" t="str">
        <x:v>10.1038/s41529-026-00746-3</x:v>
      </x:c>
      <x:c r="AO75" s="12" t="str">
        <x:v>https://doi.org/10.1038/s41529-026-00746-3</x:v>
      </x:c>
      <x:c r="AP75" s="12" t="str">
        <x:v>Table3 PDF p12; methods pp11-12; Table1 p3</x:v>
      </x:c>
      <x:c r="AQ75" s="12" t="str">
        <x:v>primary_source_transcription</x:v>
      </x:c>
      <x:c r="AR75" s="12" t="str">
        <x:v>not_reported</x:v>
      </x:c>
      <x:c r="AS75" s="12"/>
      <x:c r="AT75" s="12"/>
      <x:c r="AU75" s="12"/>
      <x:c r="AV75" s="12"/>
      <x:c r="AW75" s="12"/>
      <x:c r="AX75" s="12"/>
      <x:c r="AY75" s="12"/>
      <x:c r="AZ75" s="12"/>
      <x:c r="BA75" s="12" t="n">
        <x:v>22</x:v>
      </x:c>
      <x:c r="BB75" s="17" t="b">
        <x:v>0</x:v>
      </x:c>
      <x:c r="BC75" s="17" t="b">
        <x:v>0</x:v>
      </x:c>
      <x:c r="BD75" s="12" t="str">
        <x:v>Ni; Mo; Cu; T.N.(Total Nitrogen); Nb; V; Ti; Al; Sb; Ce; La; Pr; W; Y; La+Ce_합산; PREN; 열처리 온도(°C); Time(min); 냉각방식; 침지시간(min); Ecorr(V); icorr(A/cm2)</x:v>
      </x:c>
      <x:c r="BE75" s="12" t="str">
        <x:v>Table1 Ipass is passive current, not corrosion current. P/S retained as printed (S0.06/0.08wt%). TotalCeLa only; no invented individual fractions.</x:v>
      </x:c>
    </x:row>
    <x:row r="76" ht="40" customHeight="1">
      <x:c r="A76" s="12" t="n">
        <x:v>32</x:v>
      </x:c>
      <x:c r="B76" s="13" t="str">
        <x:v>HRB400 철근강 (Cr 0.5%, La-Ce 혼합희토류 0.018% 첨가)</x:v>
      </x:c>
      <x:c r="C76" s="13" t="str">
        <x:v>HRB400-Cr_2NaCl</x:v>
      </x:c>
      <x:c r="D76" s="14" t="n">
        <x:v>0.12</x:v>
      </x:c>
      <x:c r="E76" s="14" t="n">
        <x:v>0.5</x:v>
      </x:c>
      <x:c r="F76" s="14" t="n">
        <x:v>1.4</x:v>
      </x:c>
      <x:c r="G76" s="14" t="n">
        <x:v>0.007</x:v>
      </x:c>
      <x:c r="H76" s="14" t="n">
        <x:v>0.08</x:v>
      </x:c>
      <x:c r="I76" s="14" t="n">
        <x:v>0.5</x:v>
      </x:c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2" t="str">
        <x:v>Balance</x:v>
      </x:c>
      <x:c r="Z76" s="12"/>
      <x:c r="AA76" s="15"/>
      <x:c r="AB76" s="15"/>
      <x:c r="AC76" s="12"/>
      <x:c r="AD76" s="12" t="str">
        <x:v>CaOH2_NaCl</x:v>
      </x:c>
      <x:c r="AE76" s="12" t="n">
        <x:v>2</x:v>
      </x:c>
      <x:c r="AF76" s="12"/>
      <x:c r="AG76" s="12"/>
      <x:c r="AH76" s="12" t="n">
        <x:v>25</x:v>
      </x:c>
      <x:c r="AI76" s="12" t="str">
        <x:v>SCE</x:v>
      </x:c>
      <x:c r="AJ76" s="12" t="n">
        <x:v>0.33</x:v>
      </x:c>
      <x:c r="AK76" s="16"/>
      <x:c r="AL76" s="16"/>
      <x:c r="AM76" s="12" t="str">
        <x:v>WM32_HRB400-Cr_2NaCl</x:v>
      </x:c>
      <x:c r="AN76" s="12" t="str">
        <x:v>10.1038/s41529-026-00746-3</x:v>
      </x:c>
      <x:c r="AO76" s="12" t="str">
        <x:v>https://doi.org/10.1038/s41529-026-00746-3</x:v>
      </x:c>
      <x:c r="AP76" s="12" t="str">
        <x:v>Table3 PDF p12; methods pp11-12; Table1 p3</x:v>
      </x:c>
      <x:c r="AQ76" s="12" t="str">
        <x:v>primary_source_transcription</x:v>
      </x:c>
      <x:c r="AR76" s="12" t="str">
        <x:v>not_reported</x:v>
      </x:c>
      <x:c r="AS76" s="12"/>
      <x:c r="AT76" s="12"/>
      <x:c r="AU76" s="12"/>
      <x:c r="AV76" s="12"/>
      <x:c r="AW76" s="12"/>
      <x:c r="AX76" s="12"/>
      <x:c r="AY76" s="12"/>
      <x:c r="AZ76" s="12"/>
      <x:c r="BA76" s="12" t="n">
        <x:v>22</x:v>
      </x:c>
      <x:c r="BB76" s="17" t="b">
        <x:v>0</x:v>
      </x:c>
      <x:c r="BC76" s="17" t="b">
        <x:v>0</x:v>
      </x:c>
      <x:c r="BD76" s="12" t="str">
        <x:v>Ni; Mo; Cu; T.N.(Total Nitrogen); Nb; V; Ti; Al; Sb; Ce; La; Pr; W; Y; La+Ce_합산; PREN; 열처리 온도(°C); Time(min); 냉각방식; 침지시간(min); Ecorr(V); icorr(A/cm2)</x:v>
      </x:c>
      <x:c r="BE76" s="12" t="str">
        <x:v>Table1 Ipass is passive current, not corrosion current. P/S retained as printed (S0.06/0.08wt%). TotalCeLa only; no invented individual fractions.</x:v>
      </x:c>
    </x:row>
    <x:row r="77" ht="40" customHeight="1">
      <x:c r="A77" s="12" t="n">
        <x:v>32</x:v>
      </x:c>
      <x:c r="B77" s="13" t="str">
        <x:v>HRB400 철근강 (Cr 0.5%, La-Ce 혼합희토류 0.018% 첨가)</x:v>
      </x:c>
      <x:c r="C77" s="13" t="str">
        <x:v>HRB400-Cr_3.5NaCl</x:v>
      </x:c>
      <x:c r="D77" s="14" t="n">
        <x:v>0.12</x:v>
      </x:c>
      <x:c r="E77" s="14" t="n">
        <x:v>0.5</x:v>
      </x:c>
      <x:c r="F77" s="14" t="n">
        <x:v>1.4</x:v>
      </x:c>
      <x:c r="G77" s="14" t="n">
        <x:v>0.007</x:v>
      </x:c>
      <x:c r="H77" s="14" t="n">
        <x:v>0.08</x:v>
      </x:c>
      <x:c r="I77" s="14" t="n">
        <x:v>0.5</x:v>
      </x:c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2" t="str">
        <x:v>Balance</x:v>
      </x:c>
      <x:c r="Z77" s="12"/>
      <x:c r="AA77" s="15"/>
      <x:c r="AB77" s="15"/>
      <x:c r="AC77" s="12"/>
      <x:c r="AD77" s="12" t="str">
        <x:v>CaOH2_NaCl</x:v>
      </x:c>
      <x:c r="AE77" s="12" t="n">
        <x:v>3.5</x:v>
      </x:c>
      <x:c r="AF77" s="12"/>
      <x:c r="AG77" s="12"/>
      <x:c r="AH77" s="12" t="n">
        <x:v>25</x:v>
      </x:c>
      <x:c r="AI77" s="12" t="str">
        <x:v>SCE</x:v>
      </x:c>
      <x:c r="AJ77" s="12" t="n">
        <x:v>0.33</x:v>
      </x:c>
      <x:c r="AK77" s="16"/>
      <x:c r="AL77" s="16"/>
      <x:c r="AM77" s="12" t="str">
        <x:v>WM32_HRB400-Cr_3.5NaCl</x:v>
      </x:c>
      <x:c r="AN77" s="12" t="str">
        <x:v>10.1038/s41529-026-00746-3</x:v>
      </x:c>
      <x:c r="AO77" s="12" t="str">
        <x:v>https://doi.org/10.1038/s41529-026-00746-3</x:v>
      </x:c>
      <x:c r="AP77" s="12" t="str">
        <x:v>Table3 PDF p12; methods pp11-12; Table1 p3</x:v>
      </x:c>
      <x:c r="AQ77" s="12" t="str">
        <x:v>primary_source_transcription</x:v>
      </x:c>
      <x:c r="AR77" s="12" t="str">
        <x:v>not_reported</x:v>
      </x:c>
      <x:c r="AS77" s="12"/>
      <x:c r="AT77" s="12"/>
      <x:c r="AU77" s="12"/>
      <x:c r="AV77" s="12"/>
      <x:c r="AW77" s="12"/>
      <x:c r="AX77" s="12"/>
      <x:c r="AY77" s="12"/>
      <x:c r="AZ77" s="12"/>
      <x:c r="BA77" s="12" t="n">
        <x:v>22</x:v>
      </x:c>
      <x:c r="BB77" s="17" t="b">
        <x:v>0</x:v>
      </x:c>
      <x:c r="BC77" s="17" t="b">
        <x:v>0</x:v>
      </x:c>
      <x:c r="BD77" s="12" t="str">
        <x:v>Ni; Mo; Cu; T.N.(Total Nitrogen); Nb; V; Ti; Al; Sb; Ce; La; Pr; W; Y; La+Ce_합산; PREN; 열처리 온도(°C); Time(min); 냉각방식; 침지시간(min); Ecorr(V); icorr(A/cm2)</x:v>
      </x:c>
      <x:c r="BE77" s="12" t="str">
        <x:v>Table1 Ipass is passive current, not corrosion current. P/S retained as printed (S0.06/0.08wt%). TotalCeLa only; no invented individual fractions.</x:v>
      </x:c>
    </x:row>
    <x:row r="78" ht="40" customHeight="1">
      <x:c r="A78" s="12" t="n">
        <x:v>32</x:v>
      </x:c>
      <x:c r="B78" s="13" t="str">
        <x:v>HRB400 철근강 (Cr 0.5%, La-Ce 혼합희토류 0.018% 첨가)</x:v>
      </x:c>
      <x:c r="C78" s="13" t="str">
        <x:v>HRB400-Cr-RE_0.5NaCl</x:v>
      </x:c>
      <x:c r="D78" s="14" t="n">
        <x:v>0.12</x:v>
      </x:c>
      <x:c r="E78" s="14" t="n">
        <x:v>0.5</x:v>
      </x:c>
      <x:c r="F78" s="14" t="n">
        <x:v>1.5</x:v>
      </x:c>
      <x:c r="G78" s="14" t="n">
        <x:v>0.007</x:v>
      </x:c>
      <x:c r="H78" s="14" t="n">
        <x:v>0.08</x:v>
      </x:c>
      <x:c r="I78" s="14" t="n">
        <x:v>0.5</x:v>
      </x:c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 t="n">
        <x:v>0.018</x:v>
      </x:c>
      <x:c r="Y78" s="12" t="str">
        <x:v>Balance</x:v>
      </x:c>
      <x:c r="Z78" s="12"/>
      <x:c r="AA78" s="15"/>
      <x:c r="AB78" s="15"/>
      <x:c r="AC78" s="12"/>
      <x:c r="AD78" s="12" t="str">
        <x:v>CaOH2_NaCl</x:v>
      </x:c>
      <x:c r="AE78" s="12" t="n">
        <x:v>0.5</x:v>
      </x:c>
      <x:c r="AF78" s="12"/>
      <x:c r="AG78" s="12"/>
      <x:c r="AH78" s="12" t="n">
        <x:v>25</x:v>
      </x:c>
      <x:c r="AI78" s="12" t="str">
        <x:v>SCE</x:v>
      </x:c>
      <x:c r="AJ78" s="12" t="n">
        <x:v>0.33</x:v>
      </x:c>
      <x:c r="AK78" s="16"/>
      <x:c r="AL78" s="16"/>
      <x:c r="AM78" s="12" t="str">
        <x:v>WM32_HRB400-Cr-RE_0.5NaCl</x:v>
      </x:c>
      <x:c r="AN78" s="12" t="str">
        <x:v>10.1038/s41529-026-00746-3</x:v>
      </x:c>
      <x:c r="AO78" s="12" t="str">
        <x:v>https://doi.org/10.1038/s41529-026-00746-3</x:v>
      </x:c>
      <x:c r="AP78" s="12" t="str">
        <x:v>Table3 PDF p12; methods pp11-12; Table1 p3</x:v>
      </x:c>
      <x:c r="AQ78" s="12" t="str">
        <x:v>primary_source_transcription</x:v>
      </x:c>
      <x:c r="AR78" s="12" t="str">
        <x:v>not_reported</x:v>
      </x:c>
      <x:c r="AS78" s="12"/>
      <x:c r="AT78" s="12"/>
      <x:c r="AU78" s="12"/>
      <x:c r="AV78" s="12"/>
      <x:c r="AW78" s="12"/>
      <x:c r="AX78" s="12"/>
      <x:c r="AY78" s="12"/>
      <x:c r="AZ78" s="12"/>
      <x:c r="BA78" s="12" t="n">
        <x:v>21</x:v>
      </x:c>
      <x:c r="BB78" s="17" t="b">
        <x:v>0</x:v>
      </x:c>
      <x:c r="BC78" s="17" t="b">
        <x:v>0</x:v>
      </x:c>
      <x:c r="BD78" s="12" t="str">
        <x:v>Ni; Mo; Cu; T.N.(Total Nitrogen); Nb; V; Ti; Al; Sb; Ce; La; Pr; W; Y; PREN; 열처리 온도(°C); Time(min); 냉각방식; 침지시간(min); Ecorr(V); icorr(A/cm2)</x:v>
      </x:c>
      <x:c r="BE78" s="12" t="str">
        <x:v>Table1 Ipass is passive current, not corrosion current. P/S retained as printed (S0.06/0.08wt%). TotalCeLa only; no invented individual fractions.</x:v>
      </x:c>
    </x:row>
    <x:row r="79" ht="40" customHeight="1">
      <x:c r="A79" s="12" t="n">
        <x:v>32</x:v>
      </x:c>
      <x:c r="B79" s="13" t="str">
        <x:v>HRB400 철근강 (Cr 0.5%, La-Ce 혼합희토류 0.018% 첨가)</x:v>
      </x:c>
      <x:c r="C79" s="13" t="str">
        <x:v>HRB400-Cr-RE_1NaCl</x:v>
      </x:c>
      <x:c r="D79" s="14" t="n">
        <x:v>0.12</x:v>
      </x:c>
      <x:c r="E79" s="14" t="n">
        <x:v>0.5</x:v>
      </x:c>
      <x:c r="F79" s="14" t="n">
        <x:v>1.5</x:v>
      </x:c>
      <x:c r="G79" s="14" t="n">
        <x:v>0.007</x:v>
      </x:c>
      <x:c r="H79" s="14" t="n">
        <x:v>0.08</x:v>
      </x:c>
      <x:c r="I79" s="14" t="n">
        <x:v>0.5</x:v>
      </x:c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 t="n">
        <x:v>0.018</x:v>
      </x:c>
      <x:c r="Y79" s="12" t="str">
        <x:v>Balance</x:v>
      </x:c>
      <x:c r="Z79" s="12"/>
      <x:c r="AA79" s="15"/>
      <x:c r="AB79" s="15"/>
      <x:c r="AC79" s="12"/>
      <x:c r="AD79" s="12" t="str">
        <x:v>CaOH2_NaCl</x:v>
      </x:c>
      <x:c r="AE79" s="12" t="n">
        <x:v>1</x:v>
      </x:c>
      <x:c r="AF79" s="12"/>
      <x:c r="AG79" s="12"/>
      <x:c r="AH79" s="12" t="n">
        <x:v>25</x:v>
      </x:c>
      <x:c r="AI79" s="12" t="str">
        <x:v>SCE</x:v>
      </x:c>
      <x:c r="AJ79" s="12" t="n">
        <x:v>0.33</x:v>
      </x:c>
      <x:c r="AK79" s="16"/>
      <x:c r="AL79" s="16"/>
      <x:c r="AM79" s="12" t="str">
        <x:v>WM32_HRB400-Cr-RE_1NaCl</x:v>
      </x:c>
      <x:c r="AN79" s="12" t="str">
        <x:v>10.1038/s41529-026-00746-3</x:v>
      </x:c>
      <x:c r="AO79" s="12" t="str">
        <x:v>https://doi.org/10.1038/s41529-026-00746-3</x:v>
      </x:c>
      <x:c r="AP79" s="12" t="str">
        <x:v>Table3 PDF p12; methods pp11-12; Table1 p3</x:v>
      </x:c>
      <x:c r="AQ79" s="12" t="str">
        <x:v>primary_source_transcription</x:v>
      </x:c>
      <x:c r="AR79" s="12" t="str">
        <x:v>not_reported</x:v>
      </x:c>
      <x:c r="AS79" s="12"/>
      <x:c r="AT79" s="12"/>
      <x:c r="AU79" s="12"/>
      <x:c r="AV79" s="12"/>
      <x:c r="AW79" s="12"/>
      <x:c r="AX79" s="12"/>
      <x:c r="AY79" s="12"/>
      <x:c r="AZ79" s="12"/>
      <x:c r="BA79" s="12" t="n">
        <x:v>21</x:v>
      </x:c>
      <x:c r="BB79" s="17" t="b">
        <x:v>0</x:v>
      </x:c>
      <x:c r="BC79" s="17" t="b">
        <x:v>0</x:v>
      </x:c>
      <x:c r="BD79" s="12" t="str">
        <x:v>Ni; Mo; Cu; T.N.(Total Nitrogen); Nb; V; Ti; Al; Sb; Ce; La; Pr; W; Y; PREN; 열처리 온도(°C); Time(min); 냉각방식; 침지시간(min); Ecorr(V); icorr(A/cm2)</x:v>
      </x:c>
      <x:c r="BE79" s="12" t="str">
        <x:v>Table1 Ipass is passive current, not corrosion current. P/S retained as printed (S0.06/0.08wt%). TotalCeLa only; no invented individual fractions.</x:v>
      </x:c>
    </x:row>
    <x:row r="80" ht="40" customHeight="1">
      <x:c r="A80" s="12" t="n">
        <x:v>32</x:v>
      </x:c>
      <x:c r="B80" s="13" t="str">
        <x:v>HRB400 철근강 (Cr 0.5%, La-Ce 혼합희토류 0.018% 첨가)</x:v>
      </x:c>
      <x:c r="C80" s="13" t="str">
        <x:v>HRB400-Cr-RE_2NaCl</x:v>
      </x:c>
      <x:c r="D80" s="14" t="n">
        <x:v>0.12</x:v>
      </x:c>
      <x:c r="E80" s="14" t="n">
        <x:v>0.5</x:v>
      </x:c>
      <x:c r="F80" s="14" t="n">
        <x:v>1.5</x:v>
      </x:c>
      <x:c r="G80" s="14" t="n">
        <x:v>0.007</x:v>
      </x:c>
      <x:c r="H80" s="14" t="n">
        <x:v>0.08</x:v>
      </x:c>
      <x:c r="I80" s="14" t="n">
        <x:v>0.5</x:v>
      </x:c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 t="n">
        <x:v>0.018</x:v>
      </x:c>
      <x:c r="Y80" s="12" t="str">
        <x:v>Balance</x:v>
      </x:c>
      <x:c r="Z80" s="12"/>
      <x:c r="AA80" s="15"/>
      <x:c r="AB80" s="15"/>
      <x:c r="AC80" s="12"/>
      <x:c r="AD80" s="12" t="str">
        <x:v>CaOH2_NaCl</x:v>
      </x:c>
      <x:c r="AE80" s="12" t="n">
        <x:v>2</x:v>
      </x:c>
      <x:c r="AF80" s="12"/>
      <x:c r="AG80" s="12"/>
      <x:c r="AH80" s="12" t="n">
        <x:v>25</x:v>
      </x:c>
      <x:c r="AI80" s="12" t="str">
        <x:v>SCE</x:v>
      </x:c>
      <x:c r="AJ80" s="12" t="n">
        <x:v>0.33</x:v>
      </x:c>
      <x:c r="AK80" s="16"/>
      <x:c r="AL80" s="16"/>
      <x:c r="AM80" s="12" t="str">
        <x:v>WM32_HRB400-Cr-RE_2NaCl</x:v>
      </x:c>
      <x:c r="AN80" s="12" t="str">
        <x:v>10.1038/s41529-026-00746-3</x:v>
      </x:c>
      <x:c r="AO80" s="12" t="str">
        <x:v>https://doi.org/10.1038/s41529-026-00746-3</x:v>
      </x:c>
      <x:c r="AP80" s="12" t="str">
        <x:v>Table3 PDF p12; methods pp11-12; Table1 p3</x:v>
      </x:c>
      <x:c r="AQ80" s="12" t="str">
        <x:v>primary_source_transcription</x:v>
      </x:c>
      <x:c r="AR80" s="12" t="str">
        <x:v>not_reported</x:v>
      </x:c>
      <x:c r="AS80" s="12"/>
      <x:c r="AT80" s="12"/>
      <x:c r="AU80" s="12"/>
      <x:c r="AV80" s="12"/>
      <x:c r="AW80" s="12"/>
      <x:c r="AX80" s="12"/>
      <x:c r="AY80" s="12"/>
      <x:c r="AZ80" s="12"/>
      <x:c r="BA80" s="12" t="n">
        <x:v>21</x:v>
      </x:c>
      <x:c r="BB80" s="17" t="b">
        <x:v>0</x:v>
      </x:c>
      <x:c r="BC80" s="17" t="b">
        <x:v>0</x:v>
      </x:c>
      <x:c r="BD80" s="12" t="str">
        <x:v>Ni; Mo; Cu; T.N.(Total Nitrogen); Nb; V; Ti; Al; Sb; Ce; La; Pr; W; Y; PREN; 열처리 온도(°C); Time(min); 냉각방식; 침지시간(min); Ecorr(V); icorr(A/cm2)</x:v>
      </x:c>
      <x:c r="BE80" s="12" t="str">
        <x:v>Table1 Ipass is passive current, not corrosion current. P/S retained as printed (S0.06/0.08wt%). TotalCeLa only; no invented individual fractions.</x:v>
      </x:c>
    </x:row>
    <x:row r="81" ht="40" customHeight="1">
      <x:c r="A81" s="12" t="n">
        <x:v>32</x:v>
      </x:c>
      <x:c r="B81" s="13" t="str">
        <x:v>HRB400 철근강 (Cr 0.5%, La-Ce 혼합희토류 0.018% 첨가)</x:v>
      </x:c>
      <x:c r="C81" s="13" t="str">
        <x:v>HRB400-Cr-RE_3.5NaCl</x:v>
      </x:c>
      <x:c r="D81" s="14" t="n">
        <x:v>0.12</x:v>
      </x:c>
      <x:c r="E81" s="14" t="n">
        <x:v>0.5</x:v>
      </x:c>
      <x:c r="F81" s="14" t="n">
        <x:v>1.5</x:v>
      </x:c>
      <x:c r="G81" s="14" t="n">
        <x:v>0.007</x:v>
      </x:c>
      <x:c r="H81" s="14" t="n">
        <x:v>0.08</x:v>
      </x:c>
      <x:c r="I81" s="14" t="n">
        <x:v>0.5</x:v>
      </x:c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 t="n">
        <x:v>0.018</x:v>
      </x:c>
      <x:c r="Y81" s="12" t="str">
        <x:v>Balance</x:v>
      </x:c>
      <x:c r="Z81" s="12"/>
      <x:c r="AA81" s="15"/>
      <x:c r="AB81" s="15"/>
      <x:c r="AC81" s="12"/>
      <x:c r="AD81" s="12" t="str">
        <x:v>CaOH2_NaCl</x:v>
      </x:c>
      <x:c r="AE81" s="12" t="n">
        <x:v>3.5</x:v>
      </x:c>
      <x:c r="AF81" s="12"/>
      <x:c r="AG81" s="12"/>
      <x:c r="AH81" s="12" t="n">
        <x:v>25</x:v>
      </x:c>
      <x:c r="AI81" s="12" t="str">
        <x:v>SCE</x:v>
      </x:c>
      <x:c r="AJ81" s="12" t="n">
        <x:v>0.33</x:v>
      </x:c>
      <x:c r="AK81" s="16"/>
      <x:c r="AL81" s="16"/>
      <x:c r="AM81" s="12" t="str">
        <x:v>WM32_HRB400-Cr-RE_3.5NaCl</x:v>
      </x:c>
      <x:c r="AN81" s="12" t="str">
        <x:v>10.1038/s41529-026-00746-3</x:v>
      </x:c>
      <x:c r="AO81" s="12" t="str">
        <x:v>https://doi.org/10.1038/s41529-026-00746-3</x:v>
      </x:c>
      <x:c r="AP81" s="12" t="str">
        <x:v>Table3 PDF p12; methods pp11-12; Table1 p3</x:v>
      </x:c>
      <x:c r="AQ81" s="12" t="str">
        <x:v>primary_source_transcription</x:v>
      </x:c>
      <x:c r="AR81" s="12" t="str">
        <x:v>not_reported</x:v>
      </x:c>
      <x:c r="AS81" s="12"/>
      <x:c r="AT81" s="12"/>
      <x:c r="AU81" s="12"/>
      <x:c r="AV81" s="12"/>
      <x:c r="AW81" s="12"/>
      <x:c r="AX81" s="12"/>
      <x:c r="AY81" s="12"/>
      <x:c r="AZ81" s="12"/>
      <x:c r="BA81" s="12" t="n">
        <x:v>21</x:v>
      </x:c>
      <x:c r="BB81" s="17" t="b">
        <x:v>0</x:v>
      </x:c>
      <x:c r="BC81" s="17" t="b">
        <x:v>0</x:v>
      </x:c>
      <x:c r="BD81" s="12" t="str">
        <x:v>Ni; Mo; Cu; T.N.(Total Nitrogen); Nb; V; Ti; Al; Sb; Ce; La; Pr; W; Y; PREN; 열처리 온도(°C); Time(min); 냉각방식; 침지시간(min); Ecorr(V); icorr(A/cm2)</x:v>
      </x:c>
      <x:c r="BE81" s="12" t="str">
        <x:v>Table1 Ipass is passive current, not corrosion current. P/S retained as printed (S0.06/0.08wt%). TotalCeLa only; no invented individual fractions.</x:v>
      </x:c>
    </x:row>
    <x:row r="82" ht="40" customHeight="1">
      <x:c r="A82" s="12" t="n">
        <x:v>45</x:v>
      </x:c>
      <x:c r="B82" s="13" t="str">
        <x:v>Q355B 내후성/저합금 구조용강 (La 0~0.0425wt%)</x:v>
      </x:c>
      <x:c r="C82" s="13" t="str">
        <x:v>NO1</x:v>
      </x:c>
      <x:c r="D82" s="14" t="n">
        <x:v>0.174</x:v>
      </x:c>
      <x:c r="E82" s="14" t="n">
        <x:v>0.1346</x:v>
      </x:c>
      <x:c r="F82" s="14" t="n">
        <x:v>1.56</x:v>
      </x:c>
      <x:c r="G82" s="14"/>
      <x:c r="H82" s="14" t="n">
        <x:v>0.003</x:v>
      </x:c>
      <x:c r="I82" s="14" t="n">
        <x:v>0.0549</x:v>
      </x:c>
      <x:c r="J82" s="14"/>
      <x:c r="K82" s="14"/>
      <x:c r="L82" s="14"/>
      <x:c r="M82" s="14"/>
      <x:c r="N82" s="14"/>
      <x:c r="O82" s="14"/>
      <x:c r="P82" s="14"/>
      <x:c r="Q82" s="14" t="n">
        <x:v>0.0179</x:v>
      </x:c>
      <x:c r="R82" s="14"/>
      <x:c r="S82" s="14"/>
      <x:c r="T82" s="14"/>
      <x:c r="U82" s="14"/>
      <x:c r="V82" s="14"/>
      <x:c r="W82" s="14"/>
      <x:c r="X82" s="14"/>
      <x:c r="Y82" s="12"/>
      <x:c r="Z82" s="12"/>
      <x:c r="AA82" s="15"/>
      <x:c r="AB82" s="15"/>
      <x:c r="AC82" s="12"/>
      <x:c r="AD82" s="12"/>
      <x:c r="AE82" s="12"/>
      <x:c r="AF82" s="12"/>
      <x:c r="AG82" s="12"/>
      <x:c r="AH82" s="12"/>
      <x:c r="AI82" s="12"/>
      <x:c r="AJ82" s="12"/>
      <x:c r="AK82" s="16"/>
      <x:c r="AL82" s="16"/>
      <x:c r="AM82" s="12" t="str">
        <x:v>WM45_NO1</x:v>
      </x:c>
      <x:c r="AN82" s="12" t="str">
        <x:v>10.3390/ma15227952</x:v>
      </x:c>
      <x:c r="AO82" s="12" t="str">
        <x:v>https://doi.org/10.3390/ma15227952</x:v>
      </x:c>
      <x:c r="AP82" s="12" t="str">
        <x:v>Table1 PDF p3; corrosion-target screening</x:v>
      </x:c>
      <x:c r="AQ82" s="12" t="str">
        <x:v>primary_source_transcription</x:v>
      </x:c>
      <x:c r="AR82" s="12" t="str">
        <x:v>not_reported</x:v>
      </x:c>
      <x:c r="AS82" s="12"/>
      <x:c r="AT82" s="12"/>
      <x:c r="AU82" s="12"/>
      <x:c r="AV82" s="12"/>
      <x:c r="AW82" s="12"/>
      <x:c r="AX82" s="12"/>
      <x:c r="AY82" s="12"/>
      <x:c r="AZ82" s="12"/>
      <x:c r="BA82" s="12" t="n">
        <x:v>28</x:v>
      </x:c>
      <x:c r="BB82" s="17" t="b">
        <x:v>0</x:v>
      </x:c>
      <x:c r="BC82" s="17" t="b">
        <x:v>0</x:v>
      </x:c>
      <x:c r="BD82" s="12" t="str">
        <x:v>P; Ni; Mo; Cu; T.N.(Total Nitrogen); Nb; V; Ti; Sb; Ce; La; Pr; W; Y; La+Ce_합산; Fe; PREN; 열처리 온도(°C); Time(min); 냉각방식; 전해질; 전해질 농도(wt%); 침지시간(min); 온도(°C); 기준전극; 주사속도(mV/s); Ecorr(V); icorr(A/cm2)</x:v>
      </x:c>
      <x:c r="BE82" s="12" t="str">
        <x:v>P unreported. No tabulated electrochemical icorr; avoid treating thermodynamic coefficients as composition. Dash La not zero.</x:v>
      </x:c>
    </x:row>
    <x:row r="83" ht="40" customHeight="1">
      <x:c r="A83" s="12" t="n">
        <x:v>45</x:v>
      </x:c>
      <x:c r="B83" s="13" t="str">
        <x:v>Q355B 내후성/저합금 구조용강 (La 0~0.0425wt%)</x:v>
      </x:c>
      <x:c r="C83" s="13" t="str">
        <x:v>NO2</x:v>
      </x:c>
      <x:c r="D83" s="14" t="n">
        <x:v>0.1611</x:v>
      </x:c>
      <x:c r="E83" s="14" t="n">
        <x:v>0.1327</x:v>
      </x:c>
      <x:c r="F83" s="14" t="n">
        <x:v>1.47</x:v>
      </x:c>
      <x:c r="G83" s="14"/>
      <x:c r="H83" s="14" t="n">
        <x:v>0.0028</x:v>
      </x:c>
      <x:c r="I83" s="14" t="n">
        <x:v>0.0566</x:v>
      </x:c>
      <x:c r="J83" s="14"/>
      <x:c r="K83" s="14"/>
      <x:c r="L83" s="14"/>
      <x:c r="M83" s="14"/>
      <x:c r="N83" s="14"/>
      <x:c r="O83" s="14"/>
      <x:c r="P83" s="14"/>
      <x:c r="Q83" s="14" t="n">
        <x:v>0.0203</x:v>
      </x:c>
      <x:c r="R83" s="14"/>
      <x:c r="S83" s="14"/>
      <x:c r="T83" s="14" t="n">
        <x:v>0.0075</x:v>
      </x:c>
      <x:c r="U83" s="14"/>
      <x:c r="V83" s="14"/>
      <x:c r="W83" s="14"/>
      <x:c r="X83" s="14"/>
      <x:c r="Y83" s="12"/>
      <x:c r="Z83" s="12"/>
      <x:c r="AA83" s="15"/>
      <x:c r="AB83" s="15"/>
      <x:c r="AC83" s="12"/>
      <x:c r="AD83" s="12"/>
      <x:c r="AE83" s="12"/>
      <x:c r="AF83" s="12"/>
      <x:c r="AG83" s="12"/>
      <x:c r="AH83" s="12"/>
      <x:c r="AI83" s="12"/>
      <x:c r="AJ83" s="12"/>
      <x:c r="AK83" s="16"/>
      <x:c r="AL83" s="16"/>
      <x:c r="AM83" s="12" t="str">
        <x:v>WM45_NO2</x:v>
      </x:c>
      <x:c r="AN83" s="12" t="str">
        <x:v>10.3390/ma15227952</x:v>
      </x:c>
      <x:c r="AO83" s="12" t="str">
        <x:v>https://doi.org/10.3390/ma15227952</x:v>
      </x:c>
      <x:c r="AP83" s="12" t="str">
        <x:v>Table1 PDF p3; corrosion-target screening</x:v>
      </x:c>
      <x:c r="AQ83" s="12" t="str">
        <x:v>primary_source_transcription</x:v>
      </x:c>
      <x:c r="AR83" s="12" t="str">
        <x:v>not_reported</x:v>
      </x:c>
      <x:c r="AS83" s="12"/>
      <x:c r="AT83" s="12"/>
      <x:c r="AU83" s="12"/>
      <x:c r="AV83" s="12"/>
      <x:c r="AW83" s="12"/>
      <x:c r="AX83" s="12"/>
      <x:c r="AY83" s="12"/>
      <x:c r="AZ83" s="12"/>
      <x:c r="BA83" s="12" t="n">
        <x:v>27</x:v>
      </x:c>
      <x:c r="BB83" s="17" t="b">
        <x:v>0</x:v>
      </x:c>
      <x:c r="BC83" s="17" t="b">
        <x:v>0</x:v>
      </x:c>
      <x:c r="BD83" s="12" t="str">
        <x:v>P; Ni; Mo; Cu; T.N.(Total Nitrogen); Nb; V; Ti; Sb; Ce; Pr; W; Y; La+Ce_합산; Fe; PREN; 열처리 온도(°C); Time(min); 냉각방식; 전해질; 전해질 농도(wt%); 침지시간(min); 온도(°C); 기준전극; 주사속도(mV/s); Ecorr(V); icorr(A/cm2)</x:v>
      </x:c>
      <x:c r="BE83" s="12" t="str">
        <x:v>P unreported. No tabulated electrochemical icorr; avoid treating thermodynamic coefficients as composition. Dash La not zero.</x:v>
      </x:c>
    </x:row>
    <x:row r="84" ht="40" customHeight="1">
      <x:c r="A84" s="12" t="n">
        <x:v>45</x:v>
      </x:c>
      <x:c r="B84" s="13" t="str">
        <x:v>Q355B 내후성/저합금 구조용강 (La 0~0.0425wt%)</x:v>
      </x:c>
      <x:c r="C84" s="13" t="str">
        <x:v>NO3</x:v>
      </x:c>
      <x:c r="D84" s="14" t="n">
        <x:v>0.1657</x:v>
      </x:c>
      <x:c r="E84" s="14" t="n">
        <x:v>0.1344</x:v>
      </x:c>
      <x:c r="F84" s="14" t="n">
        <x:v>1.47</x:v>
      </x:c>
      <x:c r="G84" s="14"/>
      <x:c r="H84" s="14" t="n">
        <x:v>0.0023</x:v>
      </x:c>
      <x:c r="I84" s="14" t="n">
        <x:v>0.0555</x:v>
      </x:c>
      <x:c r="J84" s="14"/>
      <x:c r="K84" s="14"/>
      <x:c r="L84" s="14"/>
      <x:c r="M84" s="14"/>
      <x:c r="N84" s="14"/>
      <x:c r="O84" s="14"/>
      <x:c r="P84" s="14"/>
      <x:c r="Q84" s="14" t="n">
        <x:v>0.0192</x:v>
      </x:c>
      <x:c r="R84" s="14"/>
      <x:c r="S84" s="14"/>
      <x:c r="T84" s="14" t="n">
        <x:v>0.0184</x:v>
      </x:c>
      <x:c r="U84" s="14"/>
      <x:c r="V84" s="14"/>
      <x:c r="W84" s="14"/>
      <x:c r="X84" s="14"/>
      <x:c r="Y84" s="12"/>
      <x:c r="Z84" s="12"/>
      <x:c r="AA84" s="15"/>
      <x:c r="AB84" s="15"/>
      <x:c r="AC84" s="12"/>
      <x:c r="AD84" s="12"/>
      <x:c r="AE84" s="12"/>
      <x:c r="AF84" s="12"/>
      <x:c r="AG84" s="12"/>
      <x:c r="AH84" s="12"/>
      <x:c r="AI84" s="12"/>
      <x:c r="AJ84" s="12"/>
      <x:c r="AK84" s="16"/>
      <x:c r="AL84" s="16"/>
      <x:c r="AM84" s="12" t="str">
        <x:v>WM45_NO3</x:v>
      </x:c>
      <x:c r="AN84" s="12" t="str">
        <x:v>10.3390/ma15227952</x:v>
      </x:c>
      <x:c r="AO84" s="12" t="str">
        <x:v>https://doi.org/10.3390/ma15227952</x:v>
      </x:c>
      <x:c r="AP84" s="12" t="str">
        <x:v>Table1 PDF p3; corrosion-target screening</x:v>
      </x:c>
      <x:c r="AQ84" s="12" t="str">
        <x:v>primary_source_transcription</x:v>
      </x:c>
      <x:c r="AR84" s="12" t="str">
        <x:v>not_reported</x:v>
      </x:c>
      <x:c r="AS84" s="12"/>
      <x:c r="AT84" s="12"/>
      <x:c r="AU84" s="12"/>
      <x:c r="AV84" s="12"/>
      <x:c r="AW84" s="12"/>
      <x:c r="AX84" s="12"/>
      <x:c r="AY84" s="12"/>
      <x:c r="AZ84" s="12"/>
      <x:c r="BA84" s="12" t="n">
        <x:v>27</x:v>
      </x:c>
      <x:c r="BB84" s="17" t="b">
        <x:v>0</x:v>
      </x:c>
      <x:c r="BC84" s="17" t="b">
        <x:v>0</x:v>
      </x:c>
      <x:c r="BD84" s="12" t="str">
        <x:v>P; Ni; Mo; Cu; T.N.(Total Nitrogen); Nb; V; Ti; Sb; Ce; Pr; W; Y; La+Ce_합산; Fe; PREN; 열처리 온도(°C); Time(min); 냉각방식; 전해질; 전해질 농도(wt%); 침지시간(min); 온도(°C); 기준전극; 주사속도(mV/s); Ecorr(V); icorr(A/cm2)</x:v>
      </x:c>
      <x:c r="BE84" s="12" t="str">
        <x:v>P unreported. No tabulated electrochemical icorr; avoid treating thermodynamic coefficients as composition. Dash La not zero.</x:v>
      </x:c>
    </x:row>
    <x:row r="85" ht="40" customHeight="1">
      <x:c r="A85" s="12" t="n">
        <x:v>45</x:v>
      </x:c>
      <x:c r="B85" s="13" t="str">
        <x:v>Q355B 내후성/저합금 구조용강 (La 0~0.0425wt%)</x:v>
      </x:c>
      <x:c r="C85" s="13" t="str">
        <x:v>NO4</x:v>
      </x:c>
      <x:c r="D85" s="14" t="n">
        <x:v>0.1791</x:v>
      </x:c>
      <x:c r="E85" s="14" t="n">
        <x:v>0.2079</x:v>
      </x:c>
      <x:c r="F85" s="14" t="n">
        <x:v>1.59</x:v>
      </x:c>
      <x:c r="G85" s="14"/>
      <x:c r="H85" s="14" t="n">
        <x:v>0.0022</x:v>
      </x:c>
      <x:c r="I85" s="14" t="n">
        <x:v>0.0554</x:v>
      </x:c>
      <x:c r="J85" s="14"/>
      <x:c r="K85" s="14"/>
      <x:c r="L85" s="14"/>
      <x:c r="M85" s="14"/>
      <x:c r="N85" s="14"/>
      <x:c r="O85" s="14"/>
      <x:c r="P85" s="14"/>
      <x:c r="Q85" s="14" t="n">
        <x:v>0.0325</x:v>
      </x:c>
      <x:c r="R85" s="14"/>
      <x:c r="S85" s="14"/>
      <x:c r="T85" s="14" t="n">
        <x:v>0.0425</x:v>
      </x:c>
      <x:c r="U85" s="14"/>
      <x:c r="V85" s="14"/>
      <x:c r="W85" s="14"/>
      <x:c r="X85" s="14"/>
      <x:c r="Y85" s="12"/>
      <x:c r="Z85" s="12"/>
      <x:c r="AA85" s="15"/>
      <x:c r="AB85" s="15"/>
      <x:c r="AC85" s="12"/>
      <x:c r="AD85" s="12"/>
      <x:c r="AE85" s="12"/>
      <x:c r="AF85" s="12"/>
      <x:c r="AG85" s="12"/>
      <x:c r="AH85" s="12"/>
      <x:c r="AI85" s="12"/>
      <x:c r="AJ85" s="12"/>
      <x:c r="AK85" s="16"/>
      <x:c r="AL85" s="16"/>
      <x:c r="AM85" s="12" t="str">
        <x:v>WM45_NO4</x:v>
      </x:c>
      <x:c r="AN85" s="12" t="str">
        <x:v>10.3390/ma15227952</x:v>
      </x:c>
      <x:c r="AO85" s="12" t="str">
        <x:v>https://doi.org/10.3390/ma15227952</x:v>
      </x:c>
      <x:c r="AP85" s="12" t="str">
        <x:v>Table1 PDF p3; corrosion-target screening</x:v>
      </x:c>
      <x:c r="AQ85" s="12" t="str">
        <x:v>primary_source_transcription</x:v>
      </x:c>
      <x:c r="AR85" s="12" t="str">
        <x:v>not_reported</x:v>
      </x:c>
      <x:c r="AS85" s="12"/>
      <x:c r="AT85" s="12"/>
      <x:c r="AU85" s="12"/>
      <x:c r="AV85" s="12"/>
      <x:c r="AW85" s="12"/>
      <x:c r="AX85" s="12"/>
      <x:c r="AY85" s="12"/>
      <x:c r="AZ85" s="12"/>
      <x:c r="BA85" s="12" t="n">
        <x:v>27</x:v>
      </x:c>
      <x:c r="BB85" s="17" t="b">
        <x:v>0</x:v>
      </x:c>
      <x:c r="BC85" s="17" t="b">
        <x:v>0</x:v>
      </x:c>
      <x:c r="BD85" s="12" t="str">
        <x:v>P; Ni; Mo; Cu; T.N.(Total Nitrogen); Nb; V; Ti; Sb; Ce; Pr; W; Y; La+Ce_합산; Fe; PREN; 열처리 온도(°C); Time(min); 냉각방식; 전해질; 전해질 농도(wt%); 침지시간(min); 온도(°C); 기준전극; 주사속도(mV/s); Ecorr(V); icorr(A/cm2)</x:v>
      </x:c>
      <x:c r="BE85" s="12" t="str">
        <x:v>P unreported. No tabulated electrochemical icorr; avoid treating thermodynamic coefficients as composition. Dash La not zero.</x:v>
      </x:c>
    </x:row>
    <x:row r="86" ht="40" customHeight="1">
      <x:c r="A86" s="12" t="n">
        <x:v>20</x:v>
      </x:c>
      <x:c r="B86" s="13" t="str">
        <x:v>HRB400 철근강(Cr+RE)</x:v>
      </x:c>
      <x:c r="C86" s="13" t="str">
        <x:v>BM</x:v>
      </x:c>
      <x:c r="D86" s="14" t="n">
        <x:v>0.24</x:v>
      </x:c>
      <x:c r="E86" s="14" t="n">
        <x:v>0.6</x:v>
      </x:c>
      <x:c r="F86" s="14" t="n">
        <x:v>1.52</x:v>
      </x:c>
      <x:c r="G86" s="14" t="n">
        <x:v>0.02</x:v>
      </x:c>
      <x:c r="H86" s="14" t="n">
        <x:v>0.03</x:v>
      </x:c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2" t="str">
        <x:v>Balance</x:v>
      </x:c>
      <x:c r="Z86" s="12"/>
      <x:c r="AA86" s="15"/>
      <x:c r="AB86" s="15"/>
      <x:c r="AC86" s="12"/>
      <x:c r="AD86" s="12" t="str">
        <x:v>CaOH2_NaCl</x:v>
      </x:c>
      <x:c r="AE86" s="12" t="n">
        <x:v>1</x:v>
      </x:c>
      <x:c r="AF86" s="12"/>
      <x:c r="AG86" s="12"/>
      <x:c r="AH86" s="12"/>
      <x:c r="AI86" s="12" t="str">
        <x:v>SCE</x:v>
      </x:c>
      <x:c r="AJ86" s="12" t="n">
        <x:v>0.1667</x:v>
      </x:c>
      <x:c r="AK86" s="16"/>
      <x:c r="AL86" s="16"/>
      <x:c r="AM86" s="12" t="str">
        <x:v>WM20_BM</x:v>
      </x:c>
      <x:c r="AN86" s="12" t="str">
        <x:v>10.3390/ma15228269</x:v>
      </x:c>
      <x:c r="AO86" s="12" t="str">
        <x:v>https://doi.org/10.3390/ma15228269</x:v>
      </x:c>
      <x:c r="AP86" s="12" t="str">
        <x:v>Sec2.1 PDF p2; electrochemical methods pp2-3; Table1 EIS</x:v>
      </x:c>
      <x:c r="AQ86" s="12" t="str">
        <x:v>primary_source_transcription</x:v>
      </x:c>
      <x:c r="AR86" s="12" t="str">
        <x:v>not_reported</x:v>
      </x:c>
      <x:c r="AS86" s="12"/>
      <x:c r="AT86" s="12"/>
      <x:c r="AU86" s="12"/>
      <x:c r="AV86" s="12"/>
      <x:c r="AW86" s="12"/>
      <x:c r="AX86" s="12"/>
      <x:c r="AY86" s="12"/>
      <x:c r="AZ86" s="12"/>
      <x:c r="BA86" s="12" t="n">
        <x:v>24</x:v>
      </x:c>
      <x:c r="BB86" s="17" t="b">
        <x:v>0</x:v>
      </x:c>
      <x:c r="BC86" s="17" t="b">
        <x:v>0</x:v>
      </x:c>
      <x:c r="BD86" s="12" t="str">
        <x:v>Cr; Ni; Mo; Cu; T.N.(Total Nitrogen); Nb; V; Ti; Al; Sb; Ce; La; Pr; W; Y; La+Ce_합산; PREN; 열처리 온도(°C); Time(min); 냉각방식; 침지시간(min); 온도(°C); Ecorr(V); icorr(A/cm2)</x:v>
      </x:c>
      <x:c r="BE86" s="12" t="str">
        <x:v>Base chemistry shared plus nominal additions. Table1 reports EIS values, not icorr. Room temperature not assigned25C; 50min stabilization is explicitly pre-EIS, not pre-PDP.</x:v>
      </x:c>
    </x:row>
    <x:row r="87" ht="40" customHeight="1">
      <x:c r="A87" s="12" t="n">
        <x:v>20</x:v>
      </x:c>
      <x:c r="B87" s="13" t="str">
        <x:v>HRB400 철근강(Cr+RE)</x:v>
      </x:c>
      <x:c r="C87" s="13" t="str">
        <x:v>Cr</x:v>
      </x:c>
      <x:c r="D87" s="14" t="n">
        <x:v>0.24</x:v>
      </x:c>
      <x:c r="E87" s="14" t="n">
        <x:v>0.6</x:v>
      </x:c>
      <x:c r="F87" s="14" t="n">
        <x:v>1.52</x:v>
      </x:c>
      <x:c r="G87" s="14" t="n">
        <x:v>0.02</x:v>
      </x:c>
      <x:c r="H87" s="14" t="n">
        <x:v>0.03</x:v>
      </x:c>
      <x:c r="I87" s="14" t="n">
        <x:v>0.5</x:v>
      </x:c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2" t="str">
        <x:v>Balance</x:v>
      </x:c>
      <x:c r="Z87" s="12"/>
      <x:c r="AA87" s="15"/>
      <x:c r="AB87" s="15"/>
      <x:c r="AC87" s="12"/>
      <x:c r="AD87" s="12" t="str">
        <x:v>CaOH2_NaCl</x:v>
      </x:c>
      <x:c r="AE87" s="12" t="n">
        <x:v>1</x:v>
      </x:c>
      <x:c r="AF87" s="12"/>
      <x:c r="AG87" s="12"/>
      <x:c r="AH87" s="12"/>
      <x:c r="AI87" s="12" t="str">
        <x:v>SCE</x:v>
      </x:c>
      <x:c r="AJ87" s="12" t="n">
        <x:v>0.1667</x:v>
      </x:c>
      <x:c r="AK87" s="16"/>
      <x:c r="AL87" s="16"/>
      <x:c r="AM87" s="12" t="str">
        <x:v>WM20_Cr</x:v>
      </x:c>
      <x:c r="AN87" s="12" t="str">
        <x:v>10.3390/ma15228269</x:v>
      </x:c>
      <x:c r="AO87" s="12" t="str">
        <x:v>https://doi.org/10.3390/ma15228269</x:v>
      </x:c>
      <x:c r="AP87" s="12" t="str">
        <x:v>Sec2.1 PDF p2; electrochemical methods pp2-3; Table1 EIS</x:v>
      </x:c>
      <x:c r="AQ87" s="12" t="str">
        <x:v>primary_source_transcription</x:v>
      </x:c>
      <x:c r="AR87" s="12" t="str">
        <x:v>not_reported</x:v>
      </x:c>
      <x:c r="AS87" s="12"/>
      <x:c r="AT87" s="12"/>
      <x:c r="AU87" s="12"/>
      <x:c r="AV87" s="12"/>
      <x:c r="AW87" s="12"/>
      <x:c r="AX87" s="12"/>
      <x:c r="AY87" s="12"/>
      <x:c r="AZ87" s="12"/>
      <x:c r="BA87" s="12" t="n">
        <x:v>23</x:v>
      </x:c>
      <x:c r="BB87" s="17" t="b">
        <x:v>0</x:v>
      </x:c>
      <x:c r="BC87" s="17" t="b">
        <x:v>0</x:v>
      </x:c>
      <x:c r="BD87" s="12" t="str">
        <x:v>Ni; Mo; Cu; T.N.(Total Nitrogen); Nb; V; Ti; Al; Sb; Ce; La; Pr; W; Y; La+Ce_합산; PREN; 열처리 온도(°C); Time(min); 냉각방식; 침지시간(min); 온도(°C); Ecorr(V); icorr(A/cm2)</x:v>
      </x:c>
      <x:c r="BE87" s="12" t="str">
        <x:v>Base chemistry shared plus nominal additions. Table1 reports EIS values, not icorr. Room temperature not assigned25C; 50min stabilization is explicitly pre-EIS, not pre-PDP.</x:v>
      </x:c>
    </x:row>
    <x:row r="88" ht="40" customHeight="1">
      <x:c r="A88" s="12" t="n">
        <x:v>20</x:v>
      </x:c>
      <x:c r="B88" s="13" t="str">
        <x:v>HRB400 철근강(Cr+RE)</x:v>
      </x:c>
      <x:c r="C88" s="13" t="str">
        <x:v>RE</x:v>
      </x:c>
      <x:c r="D88" s="14" t="n">
        <x:v>0.24</x:v>
      </x:c>
      <x:c r="E88" s="14" t="n">
        <x:v>0.6</x:v>
      </x:c>
      <x:c r="F88" s="14" t="n">
        <x:v>1.52</x:v>
      </x:c>
      <x:c r="G88" s="14" t="n">
        <x:v>0.02</x:v>
      </x:c>
      <x:c r="H88" s="14" t="n">
        <x:v>0.03</x:v>
      </x:c>
      <x:c r="I88" s="14" t="n">
        <x:v>0.5</x:v>
      </x:c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 t="n">
        <x:v>0.012</x:v>
      </x:c>
      <x:c r="Y88" s="12" t="str">
        <x:v>Balance</x:v>
      </x:c>
      <x:c r="Z88" s="12"/>
      <x:c r="AA88" s="15"/>
      <x:c r="AB88" s="15"/>
      <x:c r="AC88" s="12"/>
      <x:c r="AD88" s="12" t="str">
        <x:v>CaOH2_NaCl</x:v>
      </x:c>
      <x:c r="AE88" s="12" t="n">
        <x:v>1</x:v>
      </x:c>
      <x:c r="AF88" s="12"/>
      <x:c r="AG88" s="12"/>
      <x:c r="AH88" s="12"/>
      <x:c r="AI88" s="12" t="str">
        <x:v>SCE</x:v>
      </x:c>
      <x:c r="AJ88" s="12" t="n">
        <x:v>0.1667</x:v>
      </x:c>
      <x:c r="AK88" s="16"/>
      <x:c r="AL88" s="16"/>
      <x:c r="AM88" s="12" t="str">
        <x:v>WM20_RE</x:v>
      </x:c>
      <x:c r="AN88" s="12" t="str">
        <x:v>10.3390/ma15228269</x:v>
      </x:c>
      <x:c r="AO88" s="12" t="str">
        <x:v>https://doi.org/10.3390/ma15228269</x:v>
      </x:c>
      <x:c r="AP88" s="12" t="str">
        <x:v>Sec2.1 PDF p2; electrochemical methods pp2-3; Table1 EIS</x:v>
      </x:c>
      <x:c r="AQ88" s="12" t="str">
        <x:v>primary_source_transcription</x:v>
      </x:c>
      <x:c r="AR88" s="12" t="str">
        <x:v>not_reported</x:v>
      </x:c>
      <x:c r="AS88" s="12"/>
      <x:c r="AT88" s="12"/>
      <x:c r="AU88" s="12"/>
      <x:c r="AV88" s="12"/>
      <x:c r="AW88" s="12"/>
      <x:c r="AX88" s="12"/>
      <x:c r="AY88" s="12"/>
      <x:c r="AZ88" s="12"/>
      <x:c r="BA88" s="12" t="n">
        <x:v>22</x:v>
      </x:c>
      <x:c r="BB88" s="17" t="b">
        <x:v>0</x:v>
      </x:c>
      <x:c r="BC88" s="17" t="b">
        <x:v>0</x:v>
      </x:c>
      <x:c r="BD88" s="12" t="str">
        <x:v>Ni; Mo; Cu; T.N.(Total Nitrogen); Nb; V; Ti; Al; Sb; Ce; La; Pr; W; Y; PREN; 열처리 온도(°C); Time(min); 냉각방식; 침지시간(min); 온도(°C); Ecorr(V); icorr(A/cm2)</x:v>
      </x:c>
      <x:c r="BE88" s="12" t="str">
        <x:v>Base chemistry shared plus nominal additions. Table1 reports EIS values, not icorr. Room temperature not assigned25C; 50min stabilization is explicitly pre-EIS, not pre-PDP.</x:v>
      </x:c>
    </x:row>
    <x:row r="89" ht="40" customHeight="1">
      <x:c r="A89" s="12" t="n">
        <x:v>33</x:v>
      </x:c>
      <x:c r="B89" s="13" t="str">
        <x:v>316H 내열강 + 침크롬(pack chromizing)층, 침투제에 Y2O3(REO) 0~10% 첨가</x:v>
      </x:c>
      <x:c r="C89" s="13" t="str">
        <x:v>Cr_0REO</x:v>
      </x:c>
      <x:c r="D89" s="14" t="n">
        <x:v>0.03</x:v>
      </x:c>
      <x:c r="E89" s="14"/>
      <x:c r="F89" s="14" t="n">
        <x:v>2</x:v>
      </x:c>
      <x:c r="G89" s="14" t="n">
        <x:v>0.035</x:v>
      </x:c>
      <x:c r="H89" s="14"/>
      <x:c r="I89" s="14" t="n">
        <x:v>8</x:v>
      </x:c>
      <x:c r="J89" s="14" t="n">
        <x:v>11</x:v>
      </x:c>
      <x:c r="K89" s="14" t="n">
        <x:v>2</x:v>
      </x:c>
      <x:c r="L89" s="14"/>
      <x:c r="M89" s="14" t="n">
        <x:v>0.1</x:v>
      </x:c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2" t="str">
        <x:v>Balance</x:v>
      </x:c>
      <x:c r="Z89" s="12" t="n">
        <x:v>16.2</x:v>
      </x:c>
      <x:c r="AA89" s="15" t="n">
        <x:v>1100</x:v>
      </x:c>
      <x:c r="AB89" s="15" t="n">
        <x:v>1800</x:v>
      </x:c>
      <x:c r="AC89" s="12" t="str">
        <x:v>controlled_cooling</x:v>
      </x:c>
      <x:c r="AD89" s="12" t="str">
        <x:v>NaCl</x:v>
      </x:c>
      <x:c r="AE89" s="12" t="n">
        <x:v>3.5</x:v>
      </x:c>
      <x:c r="AF89" s="12"/>
      <x:c r="AG89" s="12"/>
      <x:c r="AH89" s="12"/>
      <x:c r="AI89" s="12" t="str">
        <x:v>SCE</x:v>
      </x:c>
      <x:c r="AJ89" s="12" t="n">
        <x:v>1</x:v>
      </x:c>
      <x:c r="AK89" s="16" t="n">
        <x:v>-0.2318</x:v>
      </x:c>
      <x:c r="AL89" s="16" t="n">
        <x:v>6.094e-9</x:v>
      </x:c>
      <x:c r="AM89" s="12" t="str">
        <x:v>WM33_Cr_0REO</x:v>
      </x:c>
      <x:c r="AN89" s="12" t="str">
        <x:v>10.20057/j.1003-8620.2025-00093</x:v>
      </x:c>
      <x:c r="AO89" s="12" t="str">
        <x:v>https://doi.org/10.20057/j.1003-8620.2025-00093</x:v>
      </x:c>
      <x:c r="AP89" s="12" t="str">
        <x:v>Table1/Table2 PDF p2; processing pp2-3; Table6/Fig8 p8</x:v>
      </x:c>
      <x:c r="AQ89" s="12" t="str">
        <x:v>primary_source_transcription</x:v>
      </x:c>
      <x:c r="AR89" s="12" t="str">
        <x:v>reported_numeric</x:v>
      </x:c>
      <x:c r="AS89" s="12" t="n">
        <x:v>6.094e-9</x:v>
      </x:c>
      <x:c r="AT89" s="12" t="str">
        <x:v>A/cm2</x:v>
      </x:c>
      <x:c r="AU89" s="12"/>
      <x:c r="AV89" s="12"/>
      <x:c r="AW89" s="12"/>
      <x:c r="AX89" s="12"/>
      <x:c r="AY89" s="12" t="n">
        <x:v>0</x:v>
      </x:c>
      <x:c r="AZ89" s="12"/>
      <x:c r="BA89" s="12" t="n">
        <x:v>16</x:v>
      </x:c>
      <x:c r="BB89" s="17" t="b">
        <x:v>0</x:v>
      </x:c>
      <x:c r="BC89" s="17" t="b">
        <x:v>0</x:v>
      </x:c>
      <x:c r="BD89" s="12" t="str">
        <x:v>Si; S; Cu; Nb; V; Ti; Al; Sb; Ce; La; Pr; W; Y; La+Ce_합산; 침지시간(min); 온도(°C)</x:v>
      </x:c>
      <x:c r="BE89" s="12" t="str">
        <x:v>Surface chromizing domain. Y2O3 is pack addition, not measured steelY. Table1 has TWO S headings with .75/.015 and Cr8/Ni11 inconsistent with grade; Si/S left unavailable, other printed values retained. Substrate chemistry not layer chemistry. PREN calculated as Cr+3.3Mo+16N; not a measurement.</x:v>
      </x:c>
    </x:row>
    <x:row r="90" ht="40" customHeight="1">
      <x:c r="A90" s="12" t="n">
        <x:v>33</x:v>
      </x:c>
      <x:c r="B90" s="13" t="str">
        <x:v>316H 내열강 + 침크롬(pack chromizing)층, 침투제에 Y2O3(REO) 0~10% 첨가</x:v>
      </x:c>
      <x:c r="C90" s="13" t="str">
        <x:v>Cr_2REO</x:v>
      </x:c>
      <x:c r="D90" s="14" t="n">
        <x:v>0.03</x:v>
      </x:c>
      <x:c r="E90" s="14"/>
      <x:c r="F90" s="14" t="n">
        <x:v>2</x:v>
      </x:c>
      <x:c r="G90" s="14" t="n">
        <x:v>0.035</x:v>
      </x:c>
      <x:c r="H90" s="14"/>
      <x:c r="I90" s="14" t="n">
        <x:v>8</x:v>
      </x:c>
      <x:c r="J90" s="14" t="n">
        <x:v>11</x:v>
      </x:c>
      <x:c r="K90" s="14" t="n">
        <x:v>2</x:v>
      </x:c>
      <x:c r="L90" s="14"/>
      <x:c r="M90" s="14" t="n">
        <x:v>0.1</x:v>
      </x:c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2" t="str">
        <x:v>Balance</x:v>
      </x:c>
      <x:c r="Z90" s="12" t="n">
        <x:v>16.2</x:v>
      </x:c>
      <x:c r="AA90" s="15" t="n">
        <x:v>1100</x:v>
      </x:c>
      <x:c r="AB90" s="15" t="n">
        <x:v>1800</x:v>
      </x:c>
      <x:c r="AC90" s="12" t="str">
        <x:v>controlled_cooling</x:v>
      </x:c>
      <x:c r="AD90" s="12" t="str">
        <x:v>NaCl</x:v>
      </x:c>
      <x:c r="AE90" s="12" t="n">
        <x:v>3.5</x:v>
      </x:c>
      <x:c r="AF90" s="12"/>
      <x:c r="AG90" s="12"/>
      <x:c r="AH90" s="12"/>
      <x:c r="AI90" s="12" t="str">
        <x:v>SCE</x:v>
      </x:c>
      <x:c r="AJ90" s="12" t="n">
        <x:v>1</x:v>
      </x:c>
      <x:c r="AK90" s="16" t="n">
        <x:v>-0.4362</x:v>
      </x:c>
      <x:c r="AL90" s="16" t="n">
        <x:v>1.006e-8</x:v>
      </x:c>
      <x:c r="AM90" s="12" t="str">
        <x:v>WM33_Cr_2REO</x:v>
      </x:c>
      <x:c r="AN90" s="12" t="str">
        <x:v>10.20057/j.1003-8620.2025-00093</x:v>
      </x:c>
      <x:c r="AO90" s="12" t="str">
        <x:v>https://doi.org/10.20057/j.1003-8620.2025-00093</x:v>
      </x:c>
      <x:c r="AP90" s="12" t="str">
        <x:v>Table1/Table2 PDF p2; processing pp2-3; Table6/Fig8 p8</x:v>
      </x:c>
      <x:c r="AQ90" s="12" t="str">
        <x:v>primary_source_transcription</x:v>
      </x:c>
      <x:c r="AR90" s="12" t="str">
        <x:v>reported_numeric</x:v>
      </x:c>
      <x:c r="AS90" s="12" t="n">
        <x:v>1.006e-8</x:v>
      </x:c>
      <x:c r="AT90" s="12" t="str">
        <x:v>A/cm2</x:v>
      </x:c>
      <x:c r="AU90" s="12"/>
      <x:c r="AV90" s="12"/>
      <x:c r="AW90" s="12"/>
      <x:c r="AX90" s="12"/>
      <x:c r="AY90" s="12" t="n">
        <x:v>2</x:v>
      </x:c>
      <x:c r="AZ90" s="12"/>
      <x:c r="BA90" s="12" t="n">
        <x:v>16</x:v>
      </x:c>
      <x:c r="BB90" s="17" t="b">
        <x:v>0</x:v>
      </x:c>
      <x:c r="BC90" s="17" t="b">
        <x:v>0</x:v>
      </x:c>
      <x:c r="BD90" s="12" t="str">
        <x:v>Si; S; Cu; Nb; V; Ti; Al; Sb; Ce; La; Pr; W; Y; La+Ce_합산; 침지시간(min); 온도(°C)</x:v>
      </x:c>
      <x:c r="BE90" s="12" t="str">
        <x:v>Surface chromizing domain. Y2O3 is pack addition, not measured steelY. Table1 has TWO S headings with .75/.015 and Cr8/Ni11 inconsistent with grade; Si/S left unavailable, other printed values retained. Substrate chemistry not layer chemistry. PREN calculated as Cr+3.3Mo+16N; not a measurement.</x:v>
      </x:c>
    </x:row>
    <x:row r="91" ht="40" customHeight="1">
      <x:c r="A91" s="12" t="n">
        <x:v>33</x:v>
      </x:c>
      <x:c r="B91" s="13" t="str">
        <x:v>316H 내열강 + 침크롬(pack chromizing)층, 침투제에 Y2O3(REO) 0~10% 첨가</x:v>
      </x:c>
      <x:c r="C91" s="13" t="str">
        <x:v>Cr_4REO</x:v>
      </x:c>
      <x:c r="D91" s="14" t="n">
        <x:v>0.03</x:v>
      </x:c>
      <x:c r="E91" s="14"/>
      <x:c r="F91" s="14" t="n">
        <x:v>2</x:v>
      </x:c>
      <x:c r="G91" s="14" t="n">
        <x:v>0.035</x:v>
      </x:c>
      <x:c r="H91" s="14"/>
      <x:c r="I91" s="14" t="n">
        <x:v>8</x:v>
      </x:c>
      <x:c r="J91" s="14" t="n">
        <x:v>11</x:v>
      </x:c>
      <x:c r="K91" s="14" t="n">
        <x:v>2</x:v>
      </x:c>
      <x:c r="L91" s="14"/>
      <x:c r="M91" s="14" t="n">
        <x:v>0.1</x:v>
      </x:c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2" t="str">
        <x:v>Balance</x:v>
      </x:c>
      <x:c r="Z91" s="12" t="n">
        <x:v>16.2</x:v>
      </x:c>
      <x:c r="AA91" s="15" t="n">
        <x:v>1100</x:v>
      </x:c>
      <x:c r="AB91" s="15" t="n">
        <x:v>1800</x:v>
      </x:c>
      <x:c r="AC91" s="12" t="str">
        <x:v>controlled_cooling</x:v>
      </x:c>
      <x:c r="AD91" s="12" t="str">
        <x:v>NaCl</x:v>
      </x:c>
      <x:c r="AE91" s="12" t="n">
        <x:v>3.5</x:v>
      </x:c>
      <x:c r="AF91" s="12"/>
      <x:c r="AG91" s="12"/>
      <x:c r="AH91" s="12"/>
      <x:c r="AI91" s="12" t="str">
        <x:v>SCE</x:v>
      </x:c>
      <x:c r="AJ91" s="12" t="n">
        <x:v>1</x:v>
      </x:c>
      <x:c r="AK91" s="16" t="n">
        <x:v>-0.4456</x:v>
      </x:c>
      <x:c r="AL91" s="16" t="n">
        <x:v>5.296e-8</x:v>
      </x:c>
      <x:c r="AM91" s="12" t="str">
        <x:v>WM33_Cr_4REO</x:v>
      </x:c>
      <x:c r="AN91" s="12" t="str">
        <x:v>10.20057/j.1003-8620.2025-00093</x:v>
      </x:c>
      <x:c r="AO91" s="12" t="str">
        <x:v>https://doi.org/10.20057/j.1003-8620.2025-00093</x:v>
      </x:c>
      <x:c r="AP91" s="12" t="str">
        <x:v>Table1/Table2 PDF p2; processing pp2-3; Table6/Fig8 p8</x:v>
      </x:c>
      <x:c r="AQ91" s="12" t="str">
        <x:v>primary_source_transcription</x:v>
      </x:c>
      <x:c r="AR91" s="12" t="str">
        <x:v>reported_numeric</x:v>
      </x:c>
      <x:c r="AS91" s="12" t="n">
        <x:v>5.296e-8</x:v>
      </x:c>
      <x:c r="AT91" s="12" t="str">
        <x:v>A/cm2</x:v>
      </x:c>
      <x:c r="AU91" s="12"/>
      <x:c r="AV91" s="12"/>
      <x:c r="AW91" s="12"/>
      <x:c r="AX91" s="12"/>
      <x:c r="AY91" s="12" t="n">
        <x:v>4</x:v>
      </x:c>
      <x:c r="AZ91" s="12"/>
      <x:c r="BA91" s="12" t="n">
        <x:v>16</x:v>
      </x:c>
      <x:c r="BB91" s="17" t="b">
        <x:v>0</x:v>
      </x:c>
      <x:c r="BC91" s="17" t="b">
        <x:v>0</x:v>
      </x:c>
      <x:c r="BD91" s="12" t="str">
        <x:v>Si; S; Cu; Nb; V; Ti; Al; Sb; Ce; La; Pr; W; Y; La+Ce_합산; 침지시간(min); 온도(°C)</x:v>
      </x:c>
      <x:c r="BE91" s="12" t="str">
        <x:v>Surface chromizing domain. Y2O3 is pack addition, not measured steelY. Table1 has TWO S headings with .75/.015 and Cr8/Ni11 inconsistent with grade; Si/S left unavailable, other printed values retained. Substrate chemistry not layer chemistry. PREN calculated as Cr+3.3Mo+16N; not a measurement.</x:v>
      </x:c>
    </x:row>
    <x:row r="92" ht="40" customHeight="1">
      <x:c r="A92" s="12" t="n">
        <x:v>33</x:v>
      </x:c>
      <x:c r="B92" s="13" t="str">
        <x:v>316H 내열강 + 침크롬(pack chromizing)층, 침투제에 Y2O3(REO) 0~10% 첨가</x:v>
      </x:c>
      <x:c r="C92" s="13" t="str">
        <x:v>Cr_6REO</x:v>
      </x:c>
      <x:c r="D92" s="14" t="n">
        <x:v>0.03</x:v>
      </x:c>
      <x:c r="E92" s="14"/>
      <x:c r="F92" s="14" t="n">
        <x:v>2</x:v>
      </x:c>
      <x:c r="G92" s="14" t="n">
        <x:v>0.035</x:v>
      </x:c>
      <x:c r="H92" s="14"/>
      <x:c r="I92" s="14" t="n">
        <x:v>8</x:v>
      </x:c>
      <x:c r="J92" s="14" t="n">
        <x:v>11</x:v>
      </x:c>
      <x:c r="K92" s="14" t="n">
        <x:v>2</x:v>
      </x:c>
      <x:c r="L92" s="14"/>
      <x:c r="M92" s="14" t="n">
        <x:v>0.1</x:v>
      </x:c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2" t="str">
        <x:v>Balance</x:v>
      </x:c>
      <x:c r="Z92" s="12" t="n">
        <x:v>16.2</x:v>
      </x:c>
      <x:c r="AA92" s="15" t="n">
        <x:v>1100</x:v>
      </x:c>
      <x:c r="AB92" s="15" t="n">
        <x:v>1800</x:v>
      </x:c>
      <x:c r="AC92" s="12" t="str">
        <x:v>controlled_cooling</x:v>
      </x:c>
      <x:c r="AD92" s="12" t="str">
        <x:v>NaCl</x:v>
      </x:c>
      <x:c r="AE92" s="12" t="n">
        <x:v>3.5</x:v>
      </x:c>
      <x:c r="AF92" s="12"/>
      <x:c r="AG92" s="12"/>
      <x:c r="AH92" s="12"/>
      <x:c r="AI92" s="12" t="str">
        <x:v>SCE</x:v>
      </x:c>
      <x:c r="AJ92" s="12" t="n">
        <x:v>1</x:v>
      </x:c>
      <x:c r="AK92" s="16" t="n">
        <x:v>-0.4221</x:v>
      </x:c>
      <x:c r="AL92" s="16" t="n">
        <x:v>1.822e-8</x:v>
      </x:c>
      <x:c r="AM92" s="12" t="str">
        <x:v>WM33_Cr_6REO</x:v>
      </x:c>
      <x:c r="AN92" s="12" t="str">
        <x:v>10.20057/j.1003-8620.2025-00093</x:v>
      </x:c>
      <x:c r="AO92" s="12" t="str">
        <x:v>https://doi.org/10.20057/j.1003-8620.2025-00093</x:v>
      </x:c>
      <x:c r="AP92" s="12" t="str">
        <x:v>Table1/Table2 PDF p2; processing pp2-3; Table6/Fig8 p8</x:v>
      </x:c>
      <x:c r="AQ92" s="12" t="str">
        <x:v>primary_source_transcription</x:v>
      </x:c>
      <x:c r="AR92" s="12" t="str">
        <x:v>reported_numeric</x:v>
      </x:c>
      <x:c r="AS92" s="12" t="n">
        <x:v>1.822e-8</x:v>
      </x:c>
      <x:c r="AT92" s="12" t="str">
        <x:v>A/cm2</x:v>
      </x:c>
      <x:c r="AU92" s="12"/>
      <x:c r="AV92" s="12"/>
      <x:c r="AW92" s="12"/>
      <x:c r="AX92" s="12"/>
      <x:c r="AY92" s="12" t="n">
        <x:v>6</x:v>
      </x:c>
      <x:c r="AZ92" s="12"/>
      <x:c r="BA92" s="12" t="n">
        <x:v>16</x:v>
      </x:c>
      <x:c r="BB92" s="17" t="b">
        <x:v>0</x:v>
      </x:c>
      <x:c r="BC92" s="17" t="b">
        <x:v>0</x:v>
      </x:c>
      <x:c r="BD92" s="12" t="str">
        <x:v>Si; S; Cu; Nb; V; Ti; Al; Sb; Ce; La; Pr; W; Y; La+Ce_합산; 침지시간(min); 온도(°C)</x:v>
      </x:c>
      <x:c r="BE92" s="12" t="str">
        <x:v>Surface chromizing domain. Y2O3 is pack addition, not measured steelY. Table1 has TWO S headings with .75/.015 and Cr8/Ni11 inconsistent with grade; Si/S left unavailable, other printed values retained. Substrate chemistry not layer chemistry. PREN calculated as Cr+3.3Mo+16N; not a measurement.</x:v>
      </x:c>
    </x:row>
    <x:row r="93" ht="40" customHeight="1">
      <x:c r="A93" s="12" t="n">
        <x:v>33</x:v>
      </x:c>
      <x:c r="B93" s="13" t="str">
        <x:v>316H 내열강 + 침크롬(pack chromizing)층, 침투제에 Y2O3(REO) 0~10% 첨가</x:v>
      </x:c>
      <x:c r="C93" s="13" t="str">
        <x:v>Cr_8REO</x:v>
      </x:c>
      <x:c r="D93" s="14" t="n">
        <x:v>0.03</x:v>
      </x:c>
      <x:c r="E93" s="14"/>
      <x:c r="F93" s="14" t="n">
        <x:v>2</x:v>
      </x:c>
      <x:c r="G93" s="14" t="n">
        <x:v>0.035</x:v>
      </x:c>
      <x:c r="H93" s="14"/>
      <x:c r="I93" s="14" t="n">
        <x:v>8</x:v>
      </x:c>
      <x:c r="J93" s="14" t="n">
        <x:v>11</x:v>
      </x:c>
      <x:c r="K93" s="14" t="n">
        <x:v>2</x:v>
      </x:c>
      <x:c r="L93" s="14"/>
      <x:c r="M93" s="14" t="n">
        <x:v>0.1</x:v>
      </x:c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2" t="str">
        <x:v>Balance</x:v>
      </x:c>
      <x:c r="Z93" s="12" t="n">
        <x:v>16.2</x:v>
      </x:c>
      <x:c r="AA93" s="15" t="n">
        <x:v>1100</x:v>
      </x:c>
      <x:c r="AB93" s="15" t="n">
        <x:v>1800</x:v>
      </x:c>
      <x:c r="AC93" s="12" t="str">
        <x:v>controlled_cooling</x:v>
      </x:c>
      <x:c r="AD93" s="12" t="str">
        <x:v>NaCl</x:v>
      </x:c>
      <x:c r="AE93" s="12" t="n">
        <x:v>3.5</x:v>
      </x:c>
      <x:c r="AF93" s="12"/>
      <x:c r="AG93" s="12"/>
      <x:c r="AH93" s="12"/>
      <x:c r="AI93" s="12" t="str">
        <x:v>SCE</x:v>
      </x:c>
      <x:c r="AJ93" s="12" t="n">
        <x:v>1</x:v>
      </x:c>
      <x:c r="AK93" s="16" t="n">
        <x:v>-0.4631</x:v>
      </x:c>
      <x:c r="AL93" s="16" t="n">
        <x:v>1.114e-8</x:v>
      </x:c>
      <x:c r="AM93" s="12" t="str">
        <x:v>WM33_Cr_8REO</x:v>
      </x:c>
      <x:c r="AN93" s="12" t="str">
        <x:v>10.20057/j.1003-8620.2025-00093</x:v>
      </x:c>
      <x:c r="AO93" s="12" t="str">
        <x:v>https://doi.org/10.20057/j.1003-8620.2025-00093</x:v>
      </x:c>
      <x:c r="AP93" s="12" t="str">
        <x:v>Table1/Table2 PDF p2; processing pp2-3; Table6/Fig8 p8</x:v>
      </x:c>
      <x:c r="AQ93" s="12" t="str">
        <x:v>primary_source_transcription</x:v>
      </x:c>
      <x:c r="AR93" s="12" t="str">
        <x:v>reported_numeric</x:v>
      </x:c>
      <x:c r="AS93" s="12" t="n">
        <x:v>1.114e-8</x:v>
      </x:c>
      <x:c r="AT93" s="12" t="str">
        <x:v>A/cm2</x:v>
      </x:c>
      <x:c r="AU93" s="12"/>
      <x:c r="AV93" s="12"/>
      <x:c r="AW93" s="12"/>
      <x:c r="AX93" s="12"/>
      <x:c r="AY93" s="12" t="n">
        <x:v>8</x:v>
      </x:c>
      <x:c r="AZ93" s="12"/>
      <x:c r="BA93" s="12" t="n">
        <x:v>16</x:v>
      </x:c>
      <x:c r="BB93" s="17" t="b">
        <x:v>0</x:v>
      </x:c>
      <x:c r="BC93" s="17" t="b">
        <x:v>0</x:v>
      </x:c>
      <x:c r="BD93" s="12" t="str">
        <x:v>Si; S; Cu; Nb; V; Ti; Al; Sb; Ce; La; Pr; W; Y; La+Ce_합산; 침지시간(min); 온도(°C)</x:v>
      </x:c>
      <x:c r="BE93" s="12" t="str">
        <x:v>Surface chromizing domain. Y2O3 is pack addition, not measured steelY. Table1 has TWO S headings with .75/.015 and Cr8/Ni11 inconsistent with grade; Si/S left unavailable, other printed values retained. Substrate chemistry not layer chemistry. PREN calculated as Cr+3.3Mo+16N; not a measurement.</x:v>
      </x:c>
    </x:row>
    <x:row r="94" ht="40" customHeight="1">
      <x:c r="A94" s="12" t="n">
        <x:v>33</x:v>
      </x:c>
      <x:c r="B94" s="13" t="str">
        <x:v>316H 내열강 + 침크롬(pack chromizing)층, 침투제에 Y2O3(REO) 0~10% 첨가</x:v>
      </x:c>
      <x:c r="C94" s="13" t="str">
        <x:v>Cr_10REO</x:v>
      </x:c>
      <x:c r="D94" s="14" t="n">
        <x:v>0.03</x:v>
      </x:c>
      <x:c r="E94" s="14"/>
      <x:c r="F94" s="14" t="n">
        <x:v>2</x:v>
      </x:c>
      <x:c r="G94" s="14" t="n">
        <x:v>0.035</x:v>
      </x:c>
      <x:c r="H94" s="14"/>
      <x:c r="I94" s="14" t="n">
        <x:v>8</x:v>
      </x:c>
      <x:c r="J94" s="14" t="n">
        <x:v>11</x:v>
      </x:c>
      <x:c r="K94" s="14" t="n">
        <x:v>2</x:v>
      </x:c>
      <x:c r="L94" s="14"/>
      <x:c r="M94" s="14" t="n">
        <x:v>0.1</x:v>
      </x:c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2" t="str">
        <x:v>Balance</x:v>
      </x:c>
      <x:c r="Z94" s="12" t="n">
        <x:v>16.2</x:v>
      </x:c>
      <x:c r="AA94" s="15" t="n">
        <x:v>1100</x:v>
      </x:c>
      <x:c r="AB94" s="15" t="n">
        <x:v>1800</x:v>
      </x:c>
      <x:c r="AC94" s="12" t="str">
        <x:v>controlled_cooling</x:v>
      </x:c>
      <x:c r="AD94" s="12" t="str">
        <x:v>NaCl</x:v>
      </x:c>
      <x:c r="AE94" s="12" t="n">
        <x:v>3.5</x:v>
      </x:c>
      <x:c r="AF94" s="12"/>
      <x:c r="AG94" s="12"/>
      <x:c r="AH94" s="12"/>
      <x:c r="AI94" s="12" t="str">
        <x:v>SCE</x:v>
      </x:c>
      <x:c r="AJ94" s="12" t="n">
        <x:v>1</x:v>
      </x:c>
      <x:c r="AK94" s="16" t="n">
        <x:v>-0.5297</x:v>
      </x:c>
      <x:c r="AL94" s="16" t="n">
        <x:v>2.429e-8</x:v>
      </x:c>
      <x:c r="AM94" s="12" t="str">
        <x:v>WM33_Cr_10REO</x:v>
      </x:c>
      <x:c r="AN94" s="12" t="str">
        <x:v>10.20057/j.1003-8620.2025-00093</x:v>
      </x:c>
      <x:c r="AO94" s="12" t="str">
        <x:v>https://doi.org/10.20057/j.1003-8620.2025-00093</x:v>
      </x:c>
      <x:c r="AP94" s="12" t="str">
        <x:v>Table1/Table2 PDF p2; processing pp2-3; Table6/Fig8 p8</x:v>
      </x:c>
      <x:c r="AQ94" s="12" t="str">
        <x:v>primary_source_transcription</x:v>
      </x:c>
      <x:c r="AR94" s="12" t="str">
        <x:v>reported_numeric</x:v>
      </x:c>
      <x:c r="AS94" s="12" t="n">
        <x:v>2.429e-8</x:v>
      </x:c>
      <x:c r="AT94" s="12" t="str">
        <x:v>A/cm2</x:v>
      </x:c>
      <x:c r="AU94" s="12"/>
      <x:c r="AV94" s="12"/>
      <x:c r="AW94" s="12"/>
      <x:c r="AX94" s="12"/>
      <x:c r="AY94" s="12" t="n">
        <x:v>10</x:v>
      </x:c>
      <x:c r="AZ94" s="12"/>
      <x:c r="BA94" s="12" t="n">
        <x:v>16</x:v>
      </x:c>
      <x:c r="BB94" s="17" t="b">
        <x:v>0</x:v>
      </x:c>
      <x:c r="BC94" s="17" t="b">
        <x:v>0</x:v>
      </x:c>
      <x:c r="BD94" s="12" t="str">
        <x:v>Si; S; Cu; Nb; V; Ti; Al; Sb; Ce; La; Pr; W; Y; La+Ce_합산; 침지시간(min); 온도(°C)</x:v>
      </x:c>
      <x:c r="BE94" s="12" t="str">
        <x:v>Surface chromizing domain. Y2O3 is pack addition, not measured steelY. Table1 has TWO S headings with .75/.015 and Cr8/Ni11 inconsistent with grade; Si/S left unavailable, other printed values retained. Substrate chemistry not layer chemistry. PREN calculated as Cr+3.3Mo+16N; not a measurement.</x:v>
      </x:c>
    </x:row>
    <x:row r="95" ht="40" customHeight="1">
      <x:c r="A95" s="12" t="n">
        <x:v>3</x:v>
      </x:c>
      <x:c r="B95" s="13" t="str">
        <x:v>HRB500E 철근강</x:v>
      </x:c>
      <x:c r="C95" s="13" t="str">
        <x:v>C0</x:v>
      </x:c>
      <x:c r="D95" s="14" t="n">
        <x:v>0.248</x:v>
      </x:c>
      <x:c r="E95" s="14" t="n">
        <x:v>0.711</x:v>
      </x:c>
      <x:c r="F95" s="14" t="n">
        <x:v>1.582</x:v>
      </x:c>
      <x:c r="G95" s="14" t="n">
        <x:v>0.045</x:v>
      </x:c>
      <x:c r="H95" s="14" t="n">
        <x:v>0.045</x:v>
      </x:c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2"/>
      <x:c r="Z95" s="12"/>
      <x:c r="AA95" s="15"/>
      <x:c r="AB95" s="15"/>
      <x:c r="AC95" s="12"/>
      <x:c r="AD95" s="12" t="str">
        <x:v>NaCl</x:v>
      </x:c>
      <x:c r="AE95" s="12" t="n">
        <x:v>3.5</x:v>
      </x:c>
      <x:c r="AF95" s="12"/>
      <x:c r="AG95" s="12"/>
      <x:c r="AH95" s="12"/>
      <x:c r="AI95" s="12"/>
      <x:c r="AJ95" s="12"/>
      <x:c r="AK95" s="16"/>
      <x:c r="AL95" s="16"/>
      <x:c r="AM95" s="12" t="str">
        <x:v>WM03_C0</x:v>
      </x:c>
      <x:c r="AN95" s="12" t="str">
        <x:v>10.1038/s41598-024-67799-9</x:v>
      </x:c>
      <x:c r="AO95" s="12" t="str">
        <x:v>https://doi.org/10.1038/s41598-024-67799-9</x:v>
      </x:c>
      <x:c r="AP95" s="12" t="str">
        <x:v>Table1 PDF p2; Fig6 PDF p7; methods/conclusion</x:v>
      </x:c>
      <x:c r="AQ95" s="12" t="str">
        <x:v>primary_source_transcription</x:v>
      </x:c>
      <x:c r="AR95" s="12" t="str">
        <x:v>quarantined_printed_unit_conflict</x:v>
      </x:c>
      <x:c r="AS95" s="12" t="n">
        <x:v>18.923</x:v>
      </x:c>
      <x:c r="AT95" s="12" t="str">
        <x:v>mA/cm2 as printed in Fig6</x:v>
      </x:c>
      <x:c r="AU95" s="12"/>
      <x:c r="AV95" s="12"/>
      <x:c r="AW95" s="12"/>
      <x:c r="AX95" s="12"/>
      <x:c r="AY95" s="12"/>
      <x:c r="AZ95" s="12"/>
      <x:c r="BA95" s="12" t="n">
        <x:v>27</x:v>
      </x:c>
      <x:c r="BB95" s="17" t="b">
        <x:v>0</x:v>
      </x:c>
      <x:c r="BC95" s="17" t="b">
        <x:v>0</x:v>
      </x:c>
      <x:c r="BD95" s="12" t="str">
        <x:v>Cr; Ni; Mo; Cu; T.N.(Total Nitrogen); Nb; V; Ti; Al; Sb; Ce; La; Pr; W; Y; La+Ce_합산; Fe; PREN; 열처리 온도(°C); Time(min); 냉각방식; 침지시간(min); 온도(°C); 기준전극; 주사속도(mV/s); Ecorr(V); icorr(A/cm2)</x:v>
      </x:c>
      <x:c r="BE95" s="12" t="str">
        <x:v>Original workbook has shifted chemistry. Source chemistry retained exactly. Fig6 current unit conflicts curve magnitude; C2 6.350 vs3.35 prose conflict. C1 numeric target not extracted. 960h corrosion clock not automatically AF minute soak.</x:v>
      </x:c>
    </x:row>
    <x:row r="96" ht="40" customHeight="1">
      <x:c r="A96" s="12" t="n">
        <x:v>3</x:v>
      </x:c>
      <x:c r="B96" s="13" t="str">
        <x:v>HRB500E 철근강</x:v>
      </x:c>
      <x:c r="C96" s="13" t="str">
        <x:v>C1</x:v>
      </x:c>
      <x:c r="D96" s="14" t="n">
        <x:v>0.248</x:v>
      </x:c>
      <x:c r="E96" s="14" t="n">
        <x:v>0.712</x:v>
      </x:c>
      <x:c r="F96" s="14" t="n">
        <x:v>1.582</x:v>
      </x:c>
      <x:c r="G96" s="14" t="n">
        <x:v>0.045</x:v>
      </x:c>
      <x:c r="H96" s="14" t="n">
        <x:v>0.045</x:v>
      </x:c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 t="n">
        <x:v>0.023</x:v>
      </x:c>
      <x:c r="T96" s="14"/>
      <x:c r="U96" s="14"/>
      <x:c r="V96" s="14"/>
      <x:c r="W96" s="14"/>
      <x:c r="X96" s="14"/>
      <x:c r="Y96" s="12"/>
      <x:c r="Z96" s="12"/>
      <x:c r="AA96" s="15"/>
      <x:c r="AB96" s="15"/>
      <x:c r="AC96" s="12"/>
      <x:c r="AD96" s="12" t="str">
        <x:v>NaCl</x:v>
      </x:c>
      <x:c r="AE96" s="12" t="n">
        <x:v>3.5</x:v>
      </x:c>
      <x:c r="AF96" s="12"/>
      <x:c r="AG96" s="12"/>
      <x:c r="AH96" s="12"/>
      <x:c r="AI96" s="12"/>
      <x:c r="AJ96" s="12"/>
      <x:c r="AK96" s="16"/>
      <x:c r="AL96" s="16"/>
      <x:c r="AM96" s="12" t="str">
        <x:v>WM03_C1</x:v>
      </x:c>
      <x:c r="AN96" s="12" t="str">
        <x:v>10.1038/s41598-024-67799-9</x:v>
      </x:c>
      <x:c r="AO96" s="12" t="str">
        <x:v>https://doi.org/10.1038/s41598-024-67799-9</x:v>
      </x:c>
      <x:c r="AP96" s="12" t="str">
        <x:v>Table1 PDF p2; Fig6 PDF p7; methods/conclusion</x:v>
      </x:c>
      <x:c r="AQ96" s="12" t="str">
        <x:v>primary_source_transcription</x:v>
      </x:c>
      <x:c r="AR96" s="12" t="str">
        <x:v>quarantined_printed_unit_conflict</x:v>
      </x:c>
      <x:c r="AS96" s="12"/>
      <x:c r="AT96" s="12" t="str">
        <x:v>mA/cm2 as printed in Fig6</x:v>
      </x:c>
      <x:c r="AU96" s="12"/>
      <x:c r="AV96" s="12"/>
      <x:c r="AW96" s="12"/>
      <x:c r="AX96" s="12"/>
      <x:c r="AY96" s="12"/>
      <x:c r="AZ96" s="12"/>
      <x:c r="BA96" s="12" t="n">
        <x:v>26</x:v>
      </x:c>
      <x:c r="BB96" s="17" t="b">
        <x:v>0</x:v>
      </x:c>
      <x:c r="BC96" s="17" t="b">
        <x:v>0</x:v>
      </x:c>
      <x:c r="BD96" s="12" t="str">
        <x:v>Cr; Ni; Mo; Cu; T.N.(Total Nitrogen); Nb; V; Ti; Al; Sb; La; Pr; W; Y; La+Ce_합산; Fe; PREN; 열처리 온도(°C); Time(min); 냉각방식; 침지시간(min); 온도(°C); 기준전극; 주사속도(mV/s); Ecorr(V); icorr(A/cm2)</x:v>
      </x:c>
      <x:c r="BE96" s="12" t="str">
        <x:v>Original workbook has shifted chemistry. Source chemistry retained exactly. Fig6 current unit conflicts curve magnitude; C2 6.350 vs3.35 prose conflict. C1 numeric target not extracted. 960h corrosion clock not automatically AF minute soak.</x:v>
      </x:c>
    </x:row>
    <x:row r="97" ht="40" customHeight="1">
      <x:c r="A97" s="12" t="n">
        <x:v>3</x:v>
      </x:c>
      <x:c r="B97" s="13" t="str">
        <x:v>HRB500E 철근강</x:v>
      </x:c>
      <x:c r="C97" s="13" t="str">
        <x:v>C2</x:v>
      </x:c>
      <x:c r="D97" s="14" t="n">
        <x:v>0.247</x:v>
      </x:c>
      <x:c r="E97" s="14" t="n">
        <x:v>0.711</x:v>
      </x:c>
      <x:c r="F97" s="14" t="n">
        <x:v>1.584</x:v>
      </x:c>
      <x:c r="G97" s="14" t="n">
        <x:v>0.045</x:v>
      </x:c>
      <x:c r="H97" s="14" t="n">
        <x:v>0.045</x:v>
      </x:c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 t="n">
        <x:v>0.044</x:v>
      </x:c>
      <x:c r="T97" s="14"/>
      <x:c r="U97" s="14"/>
      <x:c r="V97" s="14"/>
      <x:c r="W97" s="14"/>
      <x:c r="X97" s="14"/>
      <x:c r="Y97" s="12"/>
      <x:c r="Z97" s="12"/>
      <x:c r="AA97" s="15"/>
      <x:c r="AB97" s="15"/>
      <x:c r="AC97" s="12"/>
      <x:c r="AD97" s="12" t="str">
        <x:v>NaCl</x:v>
      </x:c>
      <x:c r="AE97" s="12" t="n">
        <x:v>3.5</x:v>
      </x:c>
      <x:c r="AF97" s="12"/>
      <x:c r="AG97" s="12"/>
      <x:c r="AH97" s="12"/>
      <x:c r="AI97" s="12"/>
      <x:c r="AJ97" s="12"/>
      <x:c r="AK97" s="16"/>
      <x:c r="AL97" s="16"/>
      <x:c r="AM97" s="12" t="str">
        <x:v>WM03_C2</x:v>
      </x:c>
      <x:c r="AN97" s="12" t="str">
        <x:v>10.1038/s41598-024-67799-9</x:v>
      </x:c>
      <x:c r="AO97" s="12" t="str">
        <x:v>https://doi.org/10.1038/s41598-024-67799-9</x:v>
      </x:c>
      <x:c r="AP97" s="12" t="str">
        <x:v>Table1 PDF p2; Fig6 PDF p7; methods/conclusion</x:v>
      </x:c>
      <x:c r="AQ97" s="12" t="str">
        <x:v>primary_source_transcription</x:v>
      </x:c>
      <x:c r="AR97" s="12" t="str">
        <x:v>quarantined_printed_unit_conflict</x:v>
      </x:c>
      <x:c r="AS97" s="12" t="n">
        <x:v>6.35</x:v>
      </x:c>
      <x:c r="AT97" s="12" t="str">
        <x:v>mA/cm2 as printed in Fig6</x:v>
      </x:c>
      <x:c r="AU97" s="12"/>
      <x:c r="AV97" s="12"/>
      <x:c r="AW97" s="12"/>
      <x:c r="AX97" s="12"/>
      <x:c r="AY97" s="12"/>
      <x:c r="AZ97" s="12"/>
      <x:c r="BA97" s="12" t="n">
        <x:v>26</x:v>
      </x:c>
      <x:c r="BB97" s="17" t="b">
        <x:v>0</x:v>
      </x:c>
      <x:c r="BC97" s="17" t="b">
        <x:v>0</x:v>
      </x:c>
      <x:c r="BD97" s="12" t="str">
        <x:v>Cr; Ni; Mo; Cu; T.N.(Total Nitrogen); Nb; V; Ti; Al; Sb; La; Pr; W; Y; La+Ce_합산; Fe; PREN; 열처리 온도(°C); Time(min); 냉각방식; 침지시간(min); 온도(°C); 기준전극; 주사속도(mV/s); Ecorr(V); icorr(A/cm2)</x:v>
      </x:c>
      <x:c r="BE97" s="12" t="str">
        <x:v>Original workbook has shifted chemistry. Source chemistry retained exactly. Fig6 current unit conflicts curve magnitude; C2 6.350 vs3.35 prose conflict. C1 numeric target not extracted. 960h corrosion clock not automatically AF minute soak.</x:v>
      </x:c>
    </x:row>
    <x:row r="98" ht="40" customHeight="1">
      <x:c r="A98" s="12" t="n">
        <x:v>3</x:v>
      </x:c>
      <x:c r="B98" s="13" t="str">
        <x:v>HRB500E 철근강</x:v>
      </x:c>
      <x:c r="C98" s="13" t="str">
        <x:v>C3</x:v>
      </x:c>
      <x:c r="D98" s="14" t="n">
        <x:v>0.248</x:v>
      </x:c>
      <x:c r="E98" s="14" t="n">
        <x:v>0.711</x:v>
      </x:c>
      <x:c r="F98" s="14" t="n">
        <x:v>1.583</x:v>
      </x:c>
      <x:c r="G98" s="14" t="n">
        <x:v>0.045</x:v>
      </x:c>
      <x:c r="H98" s="14" t="n">
        <x:v>0.044</x:v>
      </x:c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 t="n">
        <x:v>0.065</x:v>
      </x:c>
      <x:c r="T98" s="14"/>
      <x:c r="U98" s="14"/>
      <x:c r="V98" s="14"/>
      <x:c r="W98" s="14"/>
      <x:c r="X98" s="14"/>
      <x:c r="Y98" s="12"/>
      <x:c r="Z98" s="12"/>
      <x:c r="AA98" s="15"/>
      <x:c r="AB98" s="15"/>
      <x:c r="AC98" s="12"/>
      <x:c r="AD98" s="12" t="str">
        <x:v>NaCl</x:v>
      </x:c>
      <x:c r="AE98" s="12" t="n">
        <x:v>3.5</x:v>
      </x:c>
      <x:c r="AF98" s="12"/>
      <x:c r="AG98" s="12"/>
      <x:c r="AH98" s="12"/>
      <x:c r="AI98" s="12"/>
      <x:c r="AJ98" s="12"/>
      <x:c r="AK98" s="16"/>
      <x:c r="AL98" s="16"/>
      <x:c r="AM98" s="12" t="str">
        <x:v>WM03_C3</x:v>
      </x:c>
      <x:c r="AN98" s="12" t="str">
        <x:v>10.1038/s41598-024-67799-9</x:v>
      </x:c>
      <x:c r="AO98" s="12" t="str">
        <x:v>https://doi.org/10.1038/s41598-024-67799-9</x:v>
      </x:c>
      <x:c r="AP98" s="12" t="str">
        <x:v>Table1 PDF p2; Fig6 PDF p7; methods/conclusion</x:v>
      </x:c>
      <x:c r="AQ98" s="12" t="str">
        <x:v>primary_source_transcription</x:v>
      </x:c>
      <x:c r="AR98" s="12" t="str">
        <x:v>quarantined_printed_unit_conflict</x:v>
      </x:c>
      <x:c r="AS98" s="12" t="n">
        <x:v>5.98</x:v>
      </x:c>
      <x:c r="AT98" s="12" t="str">
        <x:v>mA/cm2 as printed in Fig6</x:v>
      </x:c>
      <x:c r="AU98" s="12"/>
      <x:c r="AV98" s="12"/>
      <x:c r="AW98" s="12"/>
      <x:c r="AX98" s="12"/>
      <x:c r="AY98" s="12"/>
      <x:c r="AZ98" s="12"/>
      <x:c r="BA98" s="12" t="n">
        <x:v>26</x:v>
      </x:c>
      <x:c r="BB98" s="17" t="b">
        <x:v>0</x:v>
      </x:c>
      <x:c r="BC98" s="17" t="b">
        <x:v>0</x:v>
      </x:c>
      <x:c r="BD98" s="12" t="str">
        <x:v>Cr; Ni; Mo; Cu; T.N.(Total Nitrogen); Nb; V; Ti; Al; Sb; La; Pr; W; Y; La+Ce_합산; Fe; PREN; 열처리 온도(°C); Time(min); 냉각방식; 침지시간(min); 온도(°C); 기준전극; 주사속도(mV/s); Ecorr(V); icorr(A/cm2)</x:v>
      </x:c>
      <x:c r="BE98" s="12" t="str">
        <x:v>Original workbook has shifted chemistry. Source chemistry retained exactly. Fig6 current unit conflicts curve magnitude; C2 6.350 vs3.35 prose conflict. C1 numeric target not extracted. 960h corrosion clock not automatically AF minute soak.</x:v>
      </x:c>
    </x:row>
    <x:row r="99" ht="40" customHeight="1">
      <x:c r="A99" s="12" t="n">
        <x:v>24</x:v>
      </x:c>
      <x:c r="B99" s="13" t="str">
        <x:v>해양플랫폼강(Wu 2025)</x:v>
      </x:c>
      <x:c r="C99" s="13" t="str">
        <x:v>17</x:v>
      </x:c>
      <x:c r="D99" s="14" t="n">
        <x:v>0.055</x:v>
      </x:c>
      <x:c r="E99" s="14" t="n">
        <x:v>0.17</x:v>
      </x:c>
      <x:c r="F99" s="14" t="n">
        <x:v>1.12</x:v>
      </x:c>
      <x:c r="G99" s="14" t="n">
        <x:v>0.01</x:v>
      </x:c>
      <x:c r="H99" s="14"/>
      <x:c r="I99" s="14" t="n">
        <x:v>0.53</x:v>
      </x:c>
      <x:c r="J99" s="14" t="n">
        <x:v>0.31</x:v>
      </x:c>
      <x:c r="K99" s="14"/>
      <x:c r="L99" s="14" t="n">
        <x:v>0.31</x:v>
      </x:c>
      <x:c r="M99" s="14"/>
      <x:c r="N99" s="14" t="n">
        <x:v>0.043</x:v>
      </x:c>
      <x:c r="O99" s="14"/>
      <x:c r="P99" s="14"/>
      <x:c r="Q99" s="14" t="n">
        <x:v>0.032</x:v>
      </x:c>
      <x:c r="R99" s="14"/>
      <x:c r="S99" s="14"/>
      <x:c r="T99" s="14"/>
      <x:c r="U99" s="14"/>
      <x:c r="V99" s="14"/>
      <x:c r="W99" s="14"/>
      <x:c r="X99" s="14"/>
      <x:c r="Y99" s="12"/>
      <x:c r="Z99" s="12"/>
      <x:c r="AA99" s="15"/>
      <x:c r="AB99" s="15"/>
      <x:c r="AC99" s="12"/>
      <x:c r="AD99" s="12" t="str">
        <x:v>NaCl</x:v>
      </x:c>
      <x:c r="AE99" s="12" t="n">
        <x:v>3.5</x:v>
      </x:c>
      <x:c r="AF99" s="12"/>
      <x:c r="AG99" s="12"/>
      <x:c r="AH99" s="12"/>
      <x:c r="AI99" s="12"/>
      <x:c r="AJ99" s="12"/>
      <x:c r="AK99" s="16"/>
      <x:c r="AL99" s="16"/>
      <x:c r="AM99" s="12" t="str">
        <x:v>WM24_17</x:v>
      </x:c>
      <x:c r="AN99" s="12" t="str">
        <x:v>10.3390/ma18112443</x:v>
      </x:c>
      <x:c r="AO99" s="12" t="str">
        <x:v>https://doi.org/10.3390/ma18112443</x:v>
      </x:c>
      <x:c r="AP99" s="12" t="str">
        <x:v>Table1 PDF p2; methods p3; Fig10 polarization</x:v>
      </x:c>
      <x:c r="AQ99" s="12" t="str">
        <x:v>primary_source_transcription</x:v>
      </x:c>
      <x:c r="AR99" s="12" t="str">
        <x:v>not_reported</x:v>
      </x:c>
      <x:c r="AS99" s="12"/>
      <x:c r="AT99" s="12"/>
      <x:c r="AU99" s="12"/>
      <x:c r="AV99" s="12"/>
      <x:c r="AW99" s="12"/>
      <x:c r="AX99" s="12"/>
      <x:c r="AY99" s="12"/>
      <x:c r="AZ99" s="12" t="n">
        <x:v>0.002</x:v>
      </x:c>
      <x:c r="BA99" s="12" t="n">
        <x:v>23</x:v>
      </x:c>
      <x:c r="BB99" s="17" t="b">
        <x:v>0</x:v>
      </x:c>
      <x:c r="BC99" s="17" t="b">
        <x:v>0</x:v>
      </x:c>
      <x:c r="BD99" s="12" t="str">
        <x:v>S; Mo; T.N.(Total Nitrogen); V; Ti; Sb; Ce; La; Pr; W; Y; La+Ce_합산; Fe; PREN; 열처리 온도(°C); Time(min); 냉각방식; 침지시간(min); 온도(°C); 기준전극; 주사속도(mV/s); Ecorr(V); icorr(A/cm2)</x:v>
      </x:c>
      <x:c r="BE99" s="12" t="str">
        <x:v>S is &lt;0.002, not measured0.002. No tabulated icorr. Salt-spray exposure and 20min pre-EIS soaking not assigned to PDP time.</x:v>
      </x:c>
    </x:row>
    <x:row r="100" ht="40" customHeight="1">
      <x:c r="A100" s="12" t="n">
        <x:v>24</x:v>
      </x:c>
      <x:c r="B100" s="13" t="str">
        <x:v>해양플랫폼강(Wu 2025)</x:v>
      </x:c>
      <x:c r="C100" s="13" t="str">
        <x:v>1</x:v>
      </x:c>
      <x:c r="D100" s="14" t="n">
        <x:v>0.067</x:v>
      </x:c>
      <x:c r="E100" s="14" t="n">
        <x:v>0.16</x:v>
      </x:c>
      <x:c r="F100" s="14" t="n">
        <x:v>1.1</x:v>
      </x:c>
      <x:c r="G100" s="14" t="n">
        <x:v>0.011</x:v>
      </x:c>
      <x:c r="H100" s="14"/>
      <x:c r="I100" s="14" t="n">
        <x:v>0.55</x:v>
      </x:c>
      <x:c r="J100" s="14" t="n">
        <x:v>0.32</x:v>
      </x:c>
      <x:c r="K100" s="14"/>
      <x:c r="L100" s="14" t="n">
        <x:v>0.35</x:v>
      </x:c>
      <x:c r="M100" s="14"/>
      <x:c r="N100" s="14" t="n">
        <x:v>0.034</x:v>
      </x:c>
      <x:c r="O100" s="14"/>
      <x:c r="P100" s="14"/>
      <x:c r="Q100" s="14" t="n">
        <x:v>0.02</x:v>
      </x:c>
      <x:c r="R100" s="14"/>
      <x:c r="S100" s="14" t="n">
        <x:v>0.0006</x:v>
      </x:c>
      <x:c r="T100" s="14"/>
      <x:c r="U100" s="14"/>
      <x:c r="V100" s="14"/>
      <x:c r="W100" s="14"/>
      <x:c r="X100" s="14"/>
      <x:c r="Y100" s="12"/>
      <x:c r="Z100" s="12"/>
      <x:c r="AA100" s="15"/>
      <x:c r="AB100" s="15"/>
      <x:c r="AC100" s="12"/>
      <x:c r="AD100" s="12" t="str">
        <x:v>NaCl</x:v>
      </x:c>
      <x:c r="AE100" s="12" t="n">
        <x:v>3.5</x:v>
      </x:c>
      <x:c r="AF100" s="12"/>
      <x:c r="AG100" s="12"/>
      <x:c r="AH100" s="12"/>
      <x:c r="AI100" s="12"/>
      <x:c r="AJ100" s="12"/>
      <x:c r="AK100" s="16"/>
      <x:c r="AL100" s="16"/>
      <x:c r="AM100" s="12" t="str">
        <x:v>WM24_1</x:v>
      </x:c>
      <x:c r="AN100" s="12" t="str">
        <x:v>10.3390/ma18112443</x:v>
      </x:c>
      <x:c r="AO100" s="12" t="str">
        <x:v>https://doi.org/10.3390/ma18112443</x:v>
      </x:c>
      <x:c r="AP100" s="12" t="str">
        <x:v>Table1 PDF p2; methods p3; Fig10 polarization</x:v>
      </x:c>
      <x:c r="AQ100" s="12" t="str">
        <x:v>primary_source_transcription</x:v>
      </x:c>
      <x:c r="AR100" s="12" t="str">
        <x:v>not_reported</x:v>
      </x:c>
      <x:c r="AS100" s="12"/>
      <x:c r="AT100" s="12"/>
      <x:c r="AU100" s="12"/>
      <x:c r="AV100" s="12"/>
      <x:c r="AW100" s="12"/>
      <x:c r="AX100" s="12"/>
      <x:c r="AY100" s="12"/>
      <x:c r="AZ100" s="12" t="n">
        <x:v>0.002</x:v>
      </x:c>
      <x:c r="BA100" s="12" t="n">
        <x:v>22</x:v>
      </x:c>
      <x:c r="BB100" s="17" t="b">
        <x:v>0</x:v>
      </x:c>
      <x:c r="BC100" s="17" t="b">
        <x:v>0</x:v>
      </x:c>
      <x:c r="BD100" s="12" t="str">
        <x:v>S; Mo; T.N.(Total Nitrogen); V; Ti; Sb; La; Pr; W; Y; La+Ce_합산; Fe; PREN; 열처리 온도(°C); Time(min); 냉각방식; 침지시간(min); 온도(°C); 기준전극; 주사속도(mV/s); Ecorr(V); icorr(A/cm2)</x:v>
      </x:c>
      <x:c r="BE100" s="12" t="str">
        <x:v>S is &lt;0.002, not measured0.002. No tabulated icorr. Salt-spray exposure and 20min pre-EIS soaking not assigned to PDP time.</x:v>
      </x:c>
    </x:row>
    <x:row r="101" ht="40" customHeight="1">
      <x:c r="A101" s="12" t="n">
        <x:v>24</x:v>
      </x:c>
      <x:c r="B101" s="13" t="str">
        <x:v>해양플랫폼강(Wu 2025)</x:v>
      </x:c>
      <x:c r="C101" s="13" t="str">
        <x:v>3</x:v>
      </x:c>
      <x:c r="D101" s="14" t="n">
        <x:v>0.065</x:v>
      </x:c>
      <x:c r="E101" s="14" t="n">
        <x:v>0.15</x:v>
      </x:c>
      <x:c r="F101" s="14" t="n">
        <x:v>1.09</x:v>
      </x:c>
      <x:c r="G101" s="14" t="n">
        <x:v>0.011</x:v>
      </x:c>
      <x:c r="H101" s="14"/>
      <x:c r="I101" s="14" t="n">
        <x:v>0.55</x:v>
      </x:c>
      <x:c r="J101" s="14" t="n">
        <x:v>0.32</x:v>
      </x:c>
      <x:c r="K101" s="14"/>
      <x:c r="L101" s="14" t="n">
        <x:v>0.34</x:v>
      </x:c>
      <x:c r="M101" s="14"/>
      <x:c r="N101" s="14" t="n">
        <x:v>0.036</x:v>
      </x:c>
      <x:c r="O101" s="14"/>
      <x:c r="P101" s="14"/>
      <x:c r="Q101" s="14" t="n">
        <x:v>0.03</x:v>
      </x:c>
      <x:c r="R101" s="14"/>
      <x:c r="S101" s="14" t="n">
        <x:v>0.0021</x:v>
      </x:c>
      <x:c r="T101" s="14"/>
      <x:c r="U101" s="14"/>
      <x:c r="V101" s="14"/>
      <x:c r="W101" s="14"/>
      <x:c r="X101" s="14"/>
      <x:c r="Y101" s="12"/>
      <x:c r="Z101" s="12"/>
      <x:c r="AA101" s="15"/>
      <x:c r="AB101" s="15"/>
      <x:c r="AC101" s="12"/>
      <x:c r="AD101" s="12" t="str">
        <x:v>NaCl</x:v>
      </x:c>
      <x:c r="AE101" s="12" t="n">
        <x:v>3.5</x:v>
      </x:c>
      <x:c r="AF101" s="12"/>
      <x:c r="AG101" s="12"/>
      <x:c r="AH101" s="12"/>
      <x:c r="AI101" s="12"/>
      <x:c r="AJ101" s="12"/>
      <x:c r="AK101" s="16"/>
      <x:c r="AL101" s="16"/>
      <x:c r="AM101" s="12" t="str">
        <x:v>WM24_3</x:v>
      </x:c>
      <x:c r="AN101" s="12" t="str">
        <x:v>10.3390/ma18112443</x:v>
      </x:c>
      <x:c r="AO101" s="12" t="str">
        <x:v>https://doi.org/10.3390/ma18112443</x:v>
      </x:c>
      <x:c r="AP101" s="12" t="str">
        <x:v>Table1 PDF p2; methods p3; Fig10 polarization</x:v>
      </x:c>
      <x:c r="AQ101" s="12" t="str">
        <x:v>primary_source_transcription</x:v>
      </x:c>
      <x:c r="AR101" s="12" t="str">
        <x:v>not_reported</x:v>
      </x:c>
      <x:c r="AS101" s="12"/>
      <x:c r="AT101" s="12"/>
      <x:c r="AU101" s="12"/>
      <x:c r="AV101" s="12"/>
      <x:c r="AW101" s="12"/>
      <x:c r="AX101" s="12"/>
      <x:c r="AY101" s="12"/>
      <x:c r="AZ101" s="12" t="n">
        <x:v>0.002</x:v>
      </x:c>
      <x:c r="BA101" s="12" t="n">
        <x:v>22</x:v>
      </x:c>
      <x:c r="BB101" s="17" t="b">
        <x:v>0</x:v>
      </x:c>
      <x:c r="BC101" s="17" t="b">
        <x:v>0</x:v>
      </x:c>
      <x:c r="BD101" s="12" t="str">
        <x:v>S; Mo; T.N.(Total Nitrogen); V; Ti; Sb; La; Pr; W; Y; La+Ce_합산; Fe; PREN; 열처리 온도(°C); Time(min); 냉각방식; 침지시간(min); 온도(°C); 기준전극; 주사속도(mV/s); Ecorr(V); icorr(A/cm2)</x:v>
      </x:c>
      <x:c r="BE101" s="12" t="str">
        <x:v>S is &lt;0.002, not measured0.002. No tabulated icorr. Salt-spray exposure and 20min pre-EIS soaking not assigned to PDP time.</x:v>
      </x:c>
    </x:row>
    <x:row r="102" ht="40" customHeight="1">
      <x:c r="A102" s="12" t="n">
        <x:v>43</x:v>
      </x:c>
      <x:c r="B102" s="13" t="str">
        <x:v>Q235B 저탄소강 / Q355B 저합금강 (RE 개질재 'M' 대비)</x:v>
      </x:c>
      <x:c r="C102" s="13" t="str">
        <x:v>Q235B</x:v>
      </x:c>
      <x:c r="D102" s="14" t="n">
        <x:v>0.12</x:v>
      </x:c>
      <x:c r="E102" s="14" t="n">
        <x:v>0.09</x:v>
      </x:c>
      <x:c r="F102" s="14" t="n">
        <x:v>0.34</x:v>
      </x:c>
      <x:c r="G102" s="14" t="n">
        <x:v>0.019</x:v>
      </x:c>
      <x:c r="H102" s="14" t="n">
        <x:v>0.009</x:v>
      </x:c>
      <x:c r="I102" s="14" t="n">
        <x:v>0.024</x:v>
      </x:c>
      <x:c r="J102" s="14"/>
      <x:c r="K102" s="14"/>
      <x:c r="L102" s="14" t="n">
        <x:v>0.023</x:v>
      </x:c>
      <x:c r="M102" s="14"/>
      <x:c r="N102" s="14"/>
      <x:c r="O102" s="14"/>
      <x:c r="P102" s="14"/>
      <x:c r="Q102" s="14" t="n">
        <x:v>0.022</x:v>
      </x:c>
      <x:c r="R102" s="14"/>
      <x:c r="S102" s="14"/>
      <x:c r="T102" s="14"/>
      <x:c r="U102" s="14"/>
      <x:c r="V102" s="14"/>
      <x:c r="W102" s="14"/>
      <x:c r="X102" s="14"/>
      <x:c r="Y102" s="12"/>
      <x:c r="Z102" s="12"/>
      <x:c r="AA102" s="15"/>
      <x:c r="AB102" s="15"/>
      <x:c r="AC102" s="12"/>
      <x:c r="AD102" s="12"/>
      <x:c r="AE102" s="12"/>
      <x:c r="AF102" s="12"/>
      <x:c r="AG102" s="12"/>
      <x:c r="AH102" s="12"/>
      <x:c r="AI102" s="12"/>
      <x:c r="AJ102" s="12"/>
      <x:c r="AK102" s="16"/>
      <x:c r="AL102" s="16"/>
      <x:c r="AM102" s="12" t="str">
        <x:v>WM43_Q235B</x:v>
      </x:c>
      <x:c r="AN102" s="12" t="str">
        <x:v>10.3390/met10091174</x:v>
      </x:c>
      <x:c r="AO102" s="12" t="str">
        <x:v>https://doi.org/10.3390/met10091174</x:v>
      </x:c>
      <x:c r="AP102" s="12" t="str">
        <x:v>Table1 PDF p2; wet-dry methods and corrosion results</x:v>
      </x:c>
      <x:c r="AQ102" s="12" t="str">
        <x:v>primary_source_transcription</x:v>
      </x:c>
      <x:c r="AR102" s="12" t="str">
        <x:v>not_reported</x:v>
      </x:c>
      <x:c r="AS102" s="12"/>
      <x:c r="AT102" s="12"/>
      <x:c r="AU102" s="12"/>
      <x:c r="AV102" s="12"/>
      <x:c r="AW102" s="12"/>
      <x:c r="AX102" s="12"/>
      <x:c r="AY102" s="12"/>
      <x:c r="AZ102" s="12"/>
      <x:c r="BA102" s="12" t="n">
        <x:v>26</x:v>
      </x:c>
      <x:c r="BB102" s="17" t="b">
        <x:v>0</x:v>
      </x:c>
      <x:c r="BC102" s="17" t="b">
        <x:v>0</x:v>
      </x:c>
      <x:c r="BD102" s="12" t="str">
        <x:v>Ni; Mo; T.N.(Total Nitrogen); Nb; V; Ti; Sb; Ce; La; Pr; W; Y; La+Ce_합산; Fe; PREN; 열처리 온도(°C); Time(min); 냉각방식; 전해질; 전해질 농도(wt%); 침지시간(min); 온도(°C); 기준전극; 주사속도(mV/s); Ecorr(V); icorr(A/cm2)</x:v>
      </x:c>
      <x:c r="BE102" s="12" t="str">
        <x:v>Final average chemical compositions as reported. No numerical PDP icorr table. Dash controls not treated as analytical zero. Mass-loss target not converted to icorr.</x:v>
      </x:c>
    </x:row>
    <x:row r="103" ht="40" customHeight="1">
      <x:c r="A103" s="12" t="n">
        <x:v>43</x:v>
      </x:c>
      <x:c r="B103" s="13" t="str">
        <x:v>Q235B 저탄소강 / Q355B 저합금강 (RE 개질재 'M' 대비)</x:v>
      </x:c>
      <x:c r="C103" s="13" t="str">
        <x:v>Q235BM</x:v>
      </x:c>
      <x:c r="D103" s="14" t="n">
        <x:v>0.12</x:v>
      </x:c>
      <x:c r="E103" s="14" t="n">
        <x:v>0.08</x:v>
      </x:c>
      <x:c r="F103" s="14" t="n">
        <x:v>0.34</x:v>
      </x:c>
      <x:c r="G103" s="14" t="n">
        <x:v>0.02</x:v>
      </x:c>
      <x:c r="H103" s="14" t="n">
        <x:v>0.01</x:v>
      </x:c>
      <x:c r="I103" s="14" t="n">
        <x:v>0.023</x:v>
      </x:c>
      <x:c r="J103" s="14"/>
      <x:c r="K103" s="14"/>
      <x:c r="L103" s="14" t="n">
        <x:v>0.023</x:v>
      </x:c>
      <x:c r="M103" s="14"/>
      <x:c r="N103" s="14"/>
      <x:c r="O103" s="14"/>
      <x:c r="P103" s="14"/>
      <x:c r="Q103" s="14" t="n">
        <x:v>0.022</x:v>
      </x:c>
      <x:c r="R103" s="14"/>
      <x:c r="S103" s="14" t="n">
        <x:v>0.018</x:v>
      </x:c>
      <x:c r="T103" s="14" t="n">
        <x:v>0.0065</x:v>
      </x:c>
      <x:c r="U103" s="14"/>
      <x:c r="V103" s="14"/>
      <x:c r="W103" s="14"/>
      <x:c r="X103" s="14" t="n">
        <x:v>0.024499999999999997</x:v>
      </x:c>
      <x:c r="Y103" s="12"/>
      <x:c r="Z103" s="12"/>
      <x:c r="AA103" s="15"/>
      <x:c r="AB103" s="15"/>
      <x:c r="AC103" s="12"/>
      <x:c r="AD103" s="12"/>
      <x:c r="AE103" s="12"/>
      <x:c r="AF103" s="12"/>
      <x:c r="AG103" s="12"/>
      <x:c r="AH103" s="12"/>
      <x:c r="AI103" s="12"/>
      <x:c r="AJ103" s="12"/>
      <x:c r="AK103" s="16"/>
      <x:c r="AL103" s="16"/>
      <x:c r="AM103" s="12" t="str">
        <x:v>WM43_Q235BM</x:v>
      </x:c>
      <x:c r="AN103" s="12" t="str">
        <x:v>10.3390/met10091174</x:v>
      </x:c>
      <x:c r="AO103" s="12" t="str">
        <x:v>https://doi.org/10.3390/met10091174</x:v>
      </x:c>
      <x:c r="AP103" s="12" t="str">
        <x:v>Table1 PDF p2; wet-dry methods and corrosion results</x:v>
      </x:c>
      <x:c r="AQ103" s="12" t="str">
        <x:v>primary_source_transcription</x:v>
      </x:c>
      <x:c r="AR103" s="12" t="str">
        <x:v>not_reported</x:v>
      </x:c>
      <x:c r="AS103" s="12"/>
      <x:c r="AT103" s="12"/>
      <x:c r="AU103" s="12"/>
      <x:c r="AV103" s="12"/>
      <x:c r="AW103" s="12"/>
      <x:c r="AX103" s="12"/>
      <x:c r="AY103" s="12"/>
      <x:c r="AZ103" s="12"/>
      <x:c r="BA103" s="12" t="n">
        <x:v>23</x:v>
      </x:c>
      <x:c r="BB103" s="17" t="b">
        <x:v>0</x:v>
      </x:c>
      <x:c r="BC103" s="17" t="b">
        <x:v>0</x:v>
      </x:c>
      <x:c r="BD103" s="12" t="str">
        <x:v>Ni; Mo; T.N.(Total Nitrogen); Nb; V; Ti; Sb; Pr; W; Y; Fe; PREN; 열처리 온도(°C); Time(min); 냉각방식; 전해질; 전해질 농도(wt%); 침지시간(min); 온도(°C); 기준전극; 주사속도(mV/s); Ecorr(V); icorr(A/cm2)</x:v>
      </x:c>
      <x:c r="BE103" s="12" t="str">
        <x:v>Final average chemical compositions as reported. No numerical PDP icorr table. Dash controls not treated as analytical zero. Mass-loss target not converted to icorr.</x:v>
      </x:c>
    </x:row>
    <x:row r="104" ht="40" customHeight="1">
      <x:c r="A104" s="12" t="n">
        <x:v>43</x:v>
      </x:c>
      <x:c r="B104" s="13" t="str">
        <x:v>Q235B 저탄소강 / Q355B 저합금강 (RE 개질재 'M' 대비)</x:v>
      </x:c>
      <x:c r="C104" s="13" t="str">
        <x:v>Q355B</x:v>
      </x:c>
      <x:c r="D104" s="14" t="n">
        <x:v>0.14</x:v>
      </x:c>
      <x:c r="E104" s="14" t="n">
        <x:v>0.23</x:v>
      </x:c>
      <x:c r="F104" s="14" t="n">
        <x:v>1.15</x:v>
      </x:c>
      <x:c r="G104" s="14" t="n">
        <x:v>0.02</x:v>
      </x:c>
      <x:c r="H104" s="14" t="n">
        <x:v>0.007</x:v>
      </x:c>
      <x:c r="I104" s="14" t="n">
        <x:v>0.023</x:v>
      </x:c>
      <x:c r="J104" s="14"/>
      <x:c r="K104" s="14"/>
      <x:c r="L104" s="14" t="n">
        <x:v>0.02</x:v>
      </x:c>
      <x:c r="M104" s="14"/>
      <x:c r="N104" s="14"/>
      <x:c r="O104" s="14"/>
      <x:c r="P104" s="14"/>
      <x:c r="Q104" s="14" t="n">
        <x:v>0.039</x:v>
      </x:c>
      <x:c r="R104" s="14"/>
      <x:c r="S104" s="14"/>
      <x:c r="T104" s="14"/>
      <x:c r="U104" s="14"/>
      <x:c r="V104" s="14"/>
      <x:c r="W104" s="14"/>
      <x:c r="X104" s="14"/>
      <x:c r="Y104" s="12"/>
      <x:c r="Z104" s="12"/>
      <x:c r="AA104" s="15"/>
      <x:c r="AB104" s="15"/>
      <x:c r="AC104" s="12"/>
      <x:c r="AD104" s="12"/>
      <x:c r="AE104" s="12"/>
      <x:c r="AF104" s="12"/>
      <x:c r="AG104" s="12"/>
      <x:c r="AH104" s="12"/>
      <x:c r="AI104" s="12"/>
      <x:c r="AJ104" s="12"/>
      <x:c r="AK104" s="16"/>
      <x:c r="AL104" s="16"/>
      <x:c r="AM104" s="12" t="str">
        <x:v>WM43_Q355B</x:v>
      </x:c>
      <x:c r="AN104" s="12" t="str">
        <x:v>10.3390/met10091174</x:v>
      </x:c>
      <x:c r="AO104" s="12" t="str">
        <x:v>https://doi.org/10.3390/met10091174</x:v>
      </x:c>
      <x:c r="AP104" s="12" t="str">
        <x:v>Table1 PDF p2; wet-dry methods and corrosion results</x:v>
      </x:c>
      <x:c r="AQ104" s="12" t="str">
        <x:v>primary_source_transcription</x:v>
      </x:c>
      <x:c r="AR104" s="12" t="str">
        <x:v>not_reported</x:v>
      </x:c>
      <x:c r="AS104" s="12"/>
      <x:c r="AT104" s="12"/>
      <x:c r="AU104" s="12"/>
      <x:c r="AV104" s="12"/>
      <x:c r="AW104" s="12"/>
      <x:c r="AX104" s="12"/>
      <x:c r="AY104" s="12"/>
      <x:c r="AZ104" s="12"/>
      <x:c r="BA104" s="12" t="n">
        <x:v>26</x:v>
      </x:c>
      <x:c r="BB104" s="17" t="b">
        <x:v>0</x:v>
      </x:c>
      <x:c r="BC104" s="17" t="b">
        <x:v>0</x:v>
      </x:c>
      <x:c r="BD104" s="12" t="str">
        <x:v>Ni; Mo; T.N.(Total Nitrogen); Nb; V; Ti; Sb; Ce; La; Pr; W; Y; La+Ce_합산; Fe; PREN; 열처리 온도(°C); Time(min); 냉각방식; 전해질; 전해질 농도(wt%); 침지시간(min); 온도(°C); 기준전극; 주사속도(mV/s); Ecorr(V); icorr(A/cm2)</x:v>
      </x:c>
      <x:c r="BE104" s="12" t="str">
        <x:v>Final average chemical compositions as reported. No numerical PDP icorr table. Dash controls not treated as analytical zero. Mass-loss target not converted to icorr.</x:v>
      </x:c>
    </x:row>
    <x:row r="105" ht="40" customHeight="1">
      <x:c r="A105" s="12" t="n">
        <x:v>43</x:v>
      </x:c>
      <x:c r="B105" s="13" t="str">
        <x:v>Q235B 저탄소강 / Q355B 저합금강 (RE 개질재 'M' 대비)</x:v>
      </x:c>
      <x:c r="C105" s="13" t="str">
        <x:v>Q355BM</x:v>
      </x:c>
      <x:c r="D105" s="14" t="n">
        <x:v>0.13</x:v>
      </x:c>
      <x:c r="E105" s="14" t="n">
        <x:v>0.23</x:v>
      </x:c>
      <x:c r="F105" s="14" t="n">
        <x:v>1.15</x:v>
      </x:c>
      <x:c r="G105" s="14" t="n">
        <x:v>0.02</x:v>
      </x:c>
      <x:c r="H105" s="14" t="n">
        <x:v>0.007</x:v>
      </x:c>
      <x:c r="I105" s="14" t="n">
        <x:v>0.023</x:v>
      </x:c>
      <x:c r="J105" s="14"/>
      <x:c r="K105" s="14"/>
      <x:c r="L105" s="14" t="n">
        <x:v>0.02</x:v>
      </x:c>
      <x:c r="M105" s="14"/>
      <x:c r="N105" s="14"/>
      <x:c r="O105" s="14"/>
      <x:c r="P105" s="14"/>
      <x:c r="Q105" s="14" t="n">
        <x:v>0.039</x:v>
      </x:c>
      <x:c r="R105" s="14"/>
      <x:c r="S105" s="14" t="n">
        <x:v>0.011</x:v>
      </x:c>
      <x:c r="T105" s="14" t="n">
        <x:v>0.0041</x:v>
      </x:c>
      <x:c r="U105" s="14"/>
      <x:c r="V105" s="14"/>
      <x:c r="W105" s="14"/>
      <x:c r="X105" s="14" t="n">
        <x:v>0.015099999999999999</x:v>
      </x:c>
      <x:c r="Y105" s="12"/>
      <x:c r="Z105" s="12"/>
      <x:c r="AA105" s="15"/>
      <x:c r="AB105" s="15"/>
      <x:c r="AC105" s="12"/>
      <x:c r="AD105" s="12"/>
      <x:c r="AE105" s="12"/>
      <x:c r="AF105" s="12"/>
      <x:c r="AG105" s="12"/>
      <x:c r="AH105" s="12"/>
      <x:c r="AI105" s="12"/>
      <x:c r="AJ105" s="12"/>
      <x:c r="AK105" s="16"/>
      <x:c r="AL105" s="16"/>
      <x:c r="AM105" s="12" t="str">
        <x:v>WM43_Q355BM</x:v>
      </x:c>
      <x:c r="AN105" s="12" t="str">
        <x:v>10.3390/met10091174</x:v>
      </x:c>
      <x:c r="AO105" s="12" t="str">
        <x:v>https://doi.org/10.3390/met10091174</x:v>
      </x:c>
      <x:c r="AP105" s="12" t="str">
        <x:v>Table1 PDF p2; wet-dry methods and corrosion results</x:v>
      </x:c>
      <x:c r="AQ105" s="12" t="str">
        <x:v>primary_source_transcription</x:v>
      </x:c>
      <x:c r="AR105" s="12" t="str">
        <x:v>not_reported</x:v>
      </x:c>
      <x:c r="AS105" s="12"/>
      <x:c r="AT105" s="12"/>
      <x:c r="AU105" s="12"/>
      <x:c r="AV105" s="12"/>
      <x:c r="AW105" s="12"/>
      <x:c r="AX105" s="12"/>
      <x:c r="AY105" s="12"/>
      <x:c r="AZ105" s="12"/>
      <x:c r="BA105" s="12" t="n">
        <x:v>23</x:v>
      </x:c>
      <x:c r="BB105" s="17" t="b">
        <x:v>0</x:v>
      </x:c>
      <x:c r="BC105" s="17" t="b">
        <x:v>0</x:v>
      </x:c>
      <x:c r="BD105" s="12" t="str">
        <x:v>Ni; Mo; T.N.(Total Nitrogen); Nb; V; Ti; Sb; Pr; W; Y; Fe; PREN; 열처리 온도(°C); Time(min); 냉각방식; 전해질; 전해질 농도(wt%); 침지시간(min); 온도(°C); 기준전극; 주사속도(mV/s); Ecorr(V); icorr(A/cm2)</x:v>
      </x:c>
      <x:c r="BE105" s="12" t="str">
        <x:v>Final average chemical compositions as reported. No numerical PDP icorr table. Dash controls not treated as analytical zero. Mass-loss target not converted to icorr.</x:v>
      </x:c>
    </x:row>
    <x:row r="106" ht="40" customHeight="1">
      <x:c r="A106" s="12" t="n">
        <x:v>36</x:v>
      </x:c>
      <x:c r="B106" s="13" t="str">
        <x:v>10CrNi3MoV 강 플럭스코어드 아크용접 용착금속(REE-Si-Fe 첨가)</x:v>
      </x:c>
      <x:c r="C106" s="13" t="str">
        <x:v>REE0</x:v>
      </x:c>
      <x:c r="D106" s="14" t="n">
        <x:v>0.033</x:v>
      </x:c>
      <x:c r="E106" s="14" t="n">
        <x:v>0.3</x:v>
      </x:c>
      <x:c r="F106" s="14" t="n">
        <x:v>1.59</x:v>
      </x:c>
      <x:c r="G106" s="14"/>
      <x:c r="H106" s="14"/>
      <x:c r="I106" s="14"/>
      <x:c r="J106" s="14" t="n">
        <x:v>2.39</x:v>
      </x:c>
      <x:c r="K106" s="14" t="n">
        <x:v>0.23</x:v>
      </x:c>
      <x:c r="L106" s="14"/>
      <x:c r="M106" s="14"/>
      <x:c r="N106" s="14"/>
      <x:c r="O106" s="14"/>
      <x:c r="P106" s="14" t="n">
        <x:v>0.03</x:v>
      </x:c>
      <x:c r="Q106" s="14" t="n">
        <x:v>0.013</x:v>
      </x:c>
      <x:c r="R106" s="14"/>
      <x:c r="S106" s="14"/>
      <x:c r="T106" s="14"/>
      <x:c r="U106" s="14"/>
      <x:c r="V106" s="14"/>
      <x:c r="W106" s="14"/>
      <x:c r="X106" s="14"/>
      <x:c r="Y106" s="12"/>
      <x:c r="Z106" s="12"/>
      <x:c r="AA106" s="15"/>
      <x:c r="AB106" s="15"/>
      <x:c r="AC106" s="12"/>
      <x:c r="AD106" s="12" t="str">
        <x:v>NaCl</x:v>
      </x:c>
      <x:c r="AE106" s="12" t="n">
        <x:v>3.5</x:v>
      </x:c>
      <x:c r="AF106" s="12" t="n">
        <x:v>30</x:v>
      </x:c>
      <x:c r="AG106" s="12"/>
      <x:c r="AH106" s="12"/>
      <x:c r="AI106" s="12" t="str">
        <x:v>SCE</x:v>
      </x:c>
      <x:c r="AJ106" s="12" t="n">
        <x:v>1</x:v>
      </x:c>
      <x:c r="AK106" s="16" t="n">
        <x:v>-0.344</x:v>
      </x:c>
      <x:c r="AL106" s="16" t="n">
        <x:v>0.0000249</x:v>
      </x:c>
      <x:c r="AM106" s="12" t="str">
        <x:v>WM36_REE0</x:v>
      </x:c>
      <x:c r="AN106" s="12" t="str">
        <x:v>10.1155/2018/4071352</x:v>
      </x:c>
      <x:c r="AO106" s="12" t="str">
        <x:v>https://onlinelibrary.wiley.com/doi/10.1155/2018/4071352</x:v>
      </x:c>
      <x:c r="AP106" s="12" t="str">
        <x:v>Publisher full text Sec2; Table6 weld chemistry; Table10 polarization</x:v>
      </x:c>
      <x:c r="AQ106" s="12" t="str">
        <x:v>primary_source_transcription</x:v>
      </x:c>
      <x:c r="AR106" s="12" t="str">
        <x:v>reported_numeric</x:v>
      </x:c>
      <x:c r="AS106" s="12" t="n">
        <x:v>24.9</x:v>
      </x:c>
      <x:c r="AT106" s="12" t="str">
        <x:v>uA/cm2</x:v>
      </x:c>
      <x:c r="AU106" s="12"/>
      <x:c r="AV106" s="12"/>
      <x:c r="AW106" s="12"/>
      <x:c r="AX106" s="12"/>
      <x:c r="AY106" s="12"/>
      <x:c r="AZ106" s="12"/>
      <x:c r="BA106" s="12" t="n">
        <x:v>20</x:v>
      </x:c>
      <x:c r="BB106" s="17" t="b">
        <x:v>0</x:v>
      </x:c>
      <x:c r="BC106" s="17" t="b">
        <x:v>0</x:v>
      </x:c>
      <x:c r="BD106" s="12" t="str">
        <x:v>P; S; Cr; Cu; T.N.(Total Nitrogen); Nb; V; Sb; Ce; La; Pr; W; Y; La+Ce_합산; Fe; PREN; 열처리 온도(°C); Time(min); 냉각방식; 온도(°C)</x:v>
      </x:c>
      <x:c r="BE106" s="12" t="str">
        <x:v>P/S and bulk RE unreported. Ferroalloy addition to powdered flux is not weld residual Ce/La. No base-plate composition substitution.</x:v>
      </x:c>
    </x:row>
    <x:row r="107" ht="40" customHeight="1">
      <x:c r="A107" s="12" t="n">
        <x:v>36</x:v>
      </x:c>
      <x:c r="B107" s="13" t="str">
        <x:v>10CrNi3MoV 강 플럭스코어드 아크용접 용착금속(REE-Si-Fe 첨가)</x:v>
      </x:c>
      <x:c r="C107" s="13" t="str">
        <x:v>REE1</x:v>
      </x:c>
      <x:c r="D107" s="14" t="n">
        <x:v>0.12</x:v>
      </x:c>
      <x:c r="E107" s="14" t="n">
        <x:v>0.25</x:v>
      </x:c>
      <x:c r="F107" s="14" t="n">
        <x:v>0.97</x:v>
      </x:c>
      <x:c r="G107" s="14"/>
      <x:c r="H107" s="14"/>
      <x:c r="I107" s="14"/>
      <x:c r="J107" s="14" t="n">
        <x:v>1.07</x:v>
      </x:c>
      <x:c r="K107" s="14" t="n">
        <x:v>0.11</x:v>
      </x:c>
      <x:c r="L107" s="14"/>
      <x:c r="M107" s="14"/>
      <x:c r="N107" s="14"/>
      <x:c r="O107" s="14"/>
      <x:c r="P107" s="14" t="n">
        <x:v>0.028</x:v>
      </x:c>
      <x:c r="Q107" s="14" t="n">
        <x:v>0.011</x:v>
      </x:c>
      <x:c r="R107" s="14"/>
      <x:c r="S107" s="14"/>
      <x:c r="T107" s="14"/>
      <x:c r="U107" s="14"/>
      <x:c r="V107" s="14"/>
      <x:c r="W107" s="14"/>
      <x:c r="X107" s="14"/>
      <x:c r="Y107" s="12"/>
      <x:c r="Z107" s="12"/>
      <x:c r="AA107" s="15"/>
      <x:c r="AB107" s="15"/>
      <x:c r="AC107" s="12"/>
      <x:c r="AD107" s="12" t="str">
        <x:v>NaCl</x:v>
      </x:c>
      <x:c r="AE107" s="12" t="n">
        <x:v>3.5</x:v>
      </x:c>
      <x:c r="AF107" s="12" t="n">
        <x:v>30</x:v>
      </x:c>
      <x:c r="AG107" s="12"/>
      <x:c r="AH107" s="12"/>
      <x:c r="AI107" s="12" t="str">
        <x:v>SCE</x:v>
      </x:c>
      <x:c r="AJ107" s="12" t="n">
        <x:v>1</x:v>
      </x:c>
      <x:c r="AK107" s="16" t="n">
        <x:v>-0.546</x:v>
      </x:c>
      <x:c r="AL107" s="16" t="n">
        <x:v>0.0000134</x:v>
      </x:c>
      <x:c r="AM107" s="12" t="str">
        <x:v>WM36_REE1</x:v>
      </x:c>
      <x:c r="AN107" s="12" t="str">
        <x:v>10.1155/2018/4071352</x:v>
      </x:c>
      <x:c r="AO107" s="12" t="str">
        <x:v>https://onlinelibrary.wiley.com/doi/10.1155/2018/4071352</x:v>
      </x:c>
      <x:c r="AP107" s="12" t="str">
        <x:v>Publisher full text Sec2; Table6 weld chemistry; Table10 polarization</x:v>
      </x:c>
      <x:c r="AQ107" s="12" t="str">
        <x:v>primary_source_transcription</x:v>
      </x:c>
      <x:c r="AR107" s="12" t="str">
        <x:v>reported_numeric</x:v>
      </x:c>
      <x:c r="AS107" s="12" t="n">
        <x:v>13.4</x:v>
      </x:c>
      <x:c r="AT107" s="12" t="str">
        <x:v>uA/cm2</x:v>
      </x:c>
      <x:c r="AU107" s="12"/>
      <x:c r="AV107" s="12"/>
      <x:c r="AW107" s="12"/>
      <x:c r="AX107" s="12"/>
      <x:c r="AY107" s="12"/>
      <x:c r="AZ107" s="12"/>
      <x:c r="BA107" s="12" t="n">
        <x:v>20</x:v>
      </x:c>
      <x:c r="BB107" s="17" t="b">
        <x:v>0</x:v>
      </x:c>
      <x:c r="BC107" s="17" t="b">
        <x:v>0</x:v>
      </x:c>
      <x:c r="BD107" s="12" t="str">
        <x:v>P; S; Cr; Cu; T.N.(Total Nitrogen); Nb; V; Sb; Ce; La; Pr; W; Y; La+Ce_합산; Fe; PREN; 열처리 온도(°C); Time(min); 냉각방식; 온도(°C)</x:v>
      </x:c>
      <x:c r="BE107" s="12" t="str">
        <x:v>P/S and bulk RE unreported. Ferroalloy addition to powdered flux is not weld residual Ce/La. No base-plate composition substitution.</x:v>
      </x:c>
    </x:row>
    <x:row r="108" ht="40" customHeight="1">
      <x:c r="A108" s="12" t="n">
        <x:v>36</x:v>
      </x:c>
      <x:c r="B108" s="13" t="str">
        <x:v>10CrNi3MoV 강 플럭스코어드 아크용접 용착금속(REE-Si-Fe 첨가)</x:v>
      </x:c>
      <x:c r="C108" s="13" t="str">
        <x:v>REE2</x:v>
      </x:c>
      <x:c r="D108" s="14" t="n">
        <x:v>0.16</x:v>
      </x:c>
      <x:c r="E108" s="14" t="n">
        <x:v>0.29</x:v>
      </x:c>
      <x:c r="F108" s="14" t="n">
        <x:v>1.44</x:v>
      </x:c>
      <x:c r="G108" s="14"/>
      <x:c r="H108" s="14"/>
      <x:c r="I108" s="14"/>
      <x:c r="J108" s="14" t="n">
        <x:v>1.77</x:v>
      </x:c>
      <x:c r="K108" s="14" t="n">
        <x:v>0.17</x:v>
      </x:c>
      <x:c r="L108" s="14"/>
      <x:c r="M108" s="14"/>
      <x:c r="N108" s="14"/>
      <x:c r="O108" s="14"/>
      <x:c r="P108" s="14" t="n">
        <x:v>0.031</x:v>
      </x:c>
      <x:c r="Q108" s="14" t="n">
        <x:v>0.014</x:v>
      </x:c>
      <x:c r="R108" s="14"/>
      <x:c r="S108" s="14"/>
      <x:c r="T108" s="14"/>
      <x:c r="U108" s="14"/>
      <x:c r="V108" s="14"/>
      <x:c r="W108" s="14"/>
      <x:c r="X108" s="14"/>
      <x:c r="Y108" s="12"/>
      <x:c r="Z108" s="12"/>
      <x:c r="AA108" s="15"/>
      <x:c r="AB108" s="15"/>
      <x:c r="AC108" s="12"/>
      <x:c r="AD108" s="12" t="str">
        <x:v>NaCl</x:v>
      </x:c>
      <x:c r="AE108" s="12" t="n">
        <x:v>3.5</x:v>
      </x:c>
      <x:c r="AF108" s="12" t="n">
        <x:v>30</x:v>
      </x:c>
      <x:c r="AG108" s="12"/>
      <x:c r="AH108" s="12"/>
      <x:c r="AI108" s="12" t="str">
        <x:v>SCE</x:v>
      </x:c>
      <x:c r="AJ108" s="12" t="n">
        <x:v>1</x:v>
      </x:c>
      <x:c r="AK108" s="16" t="n">
        <x:v>-0.544</x:v>
      </x:c>
      <x:c r="AL108" s="16" t="n">
        <x:v>0.000014</x:v>
      </x:c>
      <x:c r="AM108" s="12" t="str">
        <x:v>WM36_REE2</x:v>
      </x:c>
      <x:c r="AN108" s="12" t="str">
        <x:v>10.1155/2018/4071352</x:v>
      </x:c>
      <x:c r="AO108" s="12" t="str">
        <x:v>https://onlinelibrary.wiley.com/doi/10.1155/2018/4071352</x:v>
      </x:c>
      <x:c r="AP108" s="12" t="str">
        <x:v>Publisher full text Sec2; Table6 weld chemistry; Table10 polarization</x:v>
      </x:c>
      <x:c r="AQ108" s="12" t="str">
        <x:v>primary_source_transcription</x:v>
      </x:c>
      <x:c r="AR108" s="12" t="str">
        <x:v>reported_numeric</x:v>
      </x:c>
      <x:c r="AS108" s="12" t="n">
        <x:v>14</x:v>
      </x:c>
      <x:c r="AT108" s="12" t="str">
        <x:v>uA/cm2</x:v>
      </x:c>
      <x:c r="AU108" s="12"/>
      <x:c r="AV108" s="12"/>
      <x:c r="AW108" s="12"/>
      <x:c r="AX108" s="12"/>
      <x:c r="AY108" s="12"/>
      <x:c r="AZ108" s="12"/>
      <x:c r="BA108" s="12" t="n">
        <x:v>20</x:v>
      </x:c>
      <x:c r="BB108" s="17" t="b">
        <x:v>0</x:v>
      </x:c>
      <x:c r="BC108" s="17" t="b">
        <x:v>0</x:v>
      </x:c>
      <x:c r="BD108" s="12" t="str">
        <x:v>P; S; Cr; Cu; T.N.(Total Nitrogen); Nb; V; Sb; Ce; La; Pr; W; Y; La+Ce_합산; Fe; PREN; 열처리 온도(°C); Time(min); 냉각방식; 온도(°C)</x:v>
      </x:c>
      <x:c r="BE108" s="12" t="str">
        <x:v>P/S and bulk RE unreported. Ferroalloy addition to powdered flux is not weld residual Ce/La. No base-plate composition substitution.</x:v>
      </x:c>
    </x:row>
    <x:row r="109" ht="40" customHeight="1">
      <x:c r="A109" s="12" t="n">
        <x:v>36</x:v>
      </x:c>
      <x:c r="B109" s="13" t="str">
        <x:v>10CrNi3MoV 강 플럭스코어드 아크용접 용착금속(REE-Si-Fe 첨가)</x:v>
      </x:c>
      <x:c r="C109" s="13" t="str">
        <x:v>REE3</x:v>
      </x:c>
      <x:c r="D109" s="14" t="n">
        <x:v>0.056</x:v>
      </x:c>
      <x:c r="E109" s="14" t="n">
        <x:v>0.42</x:v>
      </x:c>
      <x:c r="F109" s="14" t="n">
        <x:v>1.47</x:v>
      </x:c>
      <x:c r="G109" s="14"/>
      <x:c r="H109" s="14"/>
      <x:c r="I109" s="14"/>
      <x:c r="J109" s="14" t="n">
        <x:v>2.41</x:v>
      </x:c>
      <x:c r="K109" s="14" t="n">
        <x:v>0.23</x:v>
      </x:c>
      <x:c r="L109" s="14"/>
      <x:c r="M109" s="14"/>
      <x:c r="N109" s="14"/>
      <x:c r="O109" s="14"/>
      <x:c r="P109" s="14" t="n">
        <x:v>0.029</x:v>
      </x:c>
      <x:c r="Q109" s="14" t="n">
        <x:v>0.014</x:v>
      </x:c>
      <x:c r="R109" s="14"/>
      <x:c r="S109" s="14"/>
      <x:c r="T109" s="14"/>
      <x:c r="U109" s="14"/>
      <x:c r="V109" s="14"/>
      <x:c r="W109" s="14"/>
      <x:c r="X109" s="14"/>
      <x:c r="Y109" s="12"/>
      <x:c r="Z109" s="12"/>
      <x:c r="AA109" s="15"/>
      <x:c r="AB109" s="15"/>
      <x:c r="AC109" s="12"/>
      <x:c r="AD109" s="12" t="str">
        <x:v>NaCl</x:v>
      </x:c>
      <x:c r="AE109" s="12" t="n">
        <x:v>3.5</x:v>
      </x:c>
      <x:c r="AF109" s="12" t="n">
        <x:v>30</x:v>
      </x:c>
      <x:c r="AG109" s="12"/>
      <x:c r="AH109" s="12"/>
      <x:c r="AI109" s="12" t="str">
        <x:v>SCE</x:v>
      </x:c>
      <x:c r="AJ109" s="12" t="n">
        <x:v>1</x:v>
      </x:c>
      <x:c r="AK109" s="16" t="n">
        <x:v>-0.403</x:v>
      </x:c>
      <x:c r="AL109" s="16" t="n">
        <x:v>0.000013599999999999999</x:v>
      </x:c>
      <x:c r="AM109" s="12" t="str">
        <x:v>WM36_REE3</x:v>
      </x:c>
      <x:c r="AN109" s="12" t="str">
        <x:v>10.1155/2018/4071352</x:v>
      </x:c>
      <x:c r="AO109" s="12" t="str">
        <x:v>https://onlinelibrary.wiley.com/doi/10.1155/2018/4071352</x:v>
      </x:c>
      <x:c r="AP109" s="12" t="str">
        <x:v>Publisher full text Sec2; Table6 weld chemistry; Table10 polarization</x:v>
      </x:c>
      <x:c r="AQ109" s="12" t="str">
        <x:v>primary_source_transcription</x:v>
      </x:c>
      <x:c r="AR109" s="12" t="str">
        <x:v>reported_numeric</x:v>
      </x:c>
      <x:c r="AS109" s="12" t="n">
        <x:v>13.6</x:v>
      </x:c>
      <x:c r="AT109" s="12" t="str">
        <x:v>uA/cm2</x:v>
      </x:c>
      <x:c r="AU109" s="12"/>
      <x:c r="AV109" s="12"/>
      <x:c r="AW109" s="12"/>
      <x:c r="AX109" s="12"/>
      <x:c r="AY109" s="12"/>
      <x:c r="AZ109" s="12"/>
      <x:c r="BA109" s="12" t="n">
        <x:v>20</x:v>
      </x:c>
      <x:c r="BB109" s="17" t="b">
        <x:v>0</x:v>
      </x:c>
      <x:c r="BC109" s="17" t="b">
        <x:v>0</x:v>
      </x:c>
      <x:c r="BD109" s="12" t="str">
        <x:v>P; S; Cr; Cu; T.N.(Total Nitrogen); Nb; V; Sb; Ce; La; Pr; W; Y; La+Ce_합산; Fe; PREN; 열처리 온도(°C); Time(min); 냉각방식; 온도(°C)</x:v>
      </x:c>
      <x:c r="BE109" s="12" t="str">
        <x:v>P/S and bulk RE unreported. Ferroalloy addition to powdered flux is not weld residual Ce/La. No base-plate composition substitution.</x:v>
      </x:c>
    </x:row>
    <x:row r="110" ht="40" customHeight="1">
      <x:c r="A110" s="12" t="n">
        <x:v>36</x:v>
      </x:c>
      <x:c r="B110" s="13" t="str">
        <x:v>10CrNi3MoV 강 플럭스코어드 아크용접 용착금속(REE-Si-Fe 첨가)</x:v>
      </x:c>
      <x:c r="C110" s="13" t="str">
        <x:v>REE4</x:v>
      </x:c>
      <x:c r="D110" s="14" t="n">
        <x:v>0.036</x:v>
      </x:c>
      <x:c r="E110" s="14" t="n">
        <x:v>0.33</x:v>
      </x:c>
      <x:c r="F110" s="14" t="n">
        <x:v>1.42</x:v>
      </x:c>
      <x:c r="G110" s="14"/>
      <x:c r="H110" s="14"/>
      <x:c r="I110" s="14"/>
      <x:c r="J110" s="14" t="n">
        <x:v>2.34</x:v>
      </x:c>
      <x:c r="K110" s="14" t="n">
        <x:v>0.25</x:v>
      </x:c>
      <x:c r="L110" s="14"/>
      <x:c r="M110" s="14"/>
      <x:c r="N110" s="14"/>
      <x:c r="O110" s="14"/>
      <x:c r="P110" s="14" t="n">
        <x:v>0.032</x:v>
      </x:c>
      <x:c r="Q110" s="14" t="n">
        <x:v>0.013</x:v>
      </x:c>
      <x:c r="R110" s="14"/>
      <x:c r="S110" s="14"/>
      <x:c r="T110" s="14"/>
      <x:c r="U110" s="14"/>
      <x:c r="V110" s="14"/>
      <x:c r="W110" s="14"/>
      <x:c r="X110" s="14"/>
      <x:c r="Y110" s="12"/>
      <x:c r="Z110" s="12"/>
      <x:c r="AA110" s="15"/>
      <x:c r="AB110" s="15"/>
      <x:c r="AC110" s="12"/>
      <x:c r="AD110" s="12" t="str">
        <x:v>NaCl</x:v>
      </x:c>
      <x:c r="AE110" s="12" t="n">
        <x:v>3.5</x:v>
      </x:c>
      <x:c r="AF110" s="12" t="n">
        <x:v>30</x:v>
      </x:c>
      <x:c r="AG110" s="12"/>
      <x:c r="AH110" s="12"/>
      <x:c r="AI110" s="12" t="str">
        <x:v>SCE</x:v>
      </x:c>
      <x:c r="AJ110" s="12" t="n">
        <x:v>1</x:v>
      </x:c>
      <x:c r="AK110" s="16" t="n">
        <x:v>-0.527</x:v>
      </x:c>
      <x:c r="AL110" s="16" t="n">
        <x:v>0.000016499999999999998</x:v>
      </x:c>
      <x:c r="AM110" s="12" t="str">
        <x:v>WM36_REE4</x:v>
      </x:c>
      <x:c r="AN110" s="12" t="str">
        <x:v>10.1155/2018/4071352</x:v>
      </x:c>
      <x:c r="AO110" s="12" t="str">
        <x:v>https://onlinelibrary.wiley.com/doi/10.1155/2018/4071352</x:v>
      </x:c>
      <x:c r="AP110" s="12" t="str">
        <x:v>Publisher full text Sec2; Table6 weld chemistry; Table10 polarization</x:v>
      </x:c>
      <x:c r="AQ110" s="12" t="str">
        <x:v>primary_source_transcription</x:v>
      </x:c>
      <x:c r="AR110" s="12" t="str">
        <x:v>reported_numeric</x:v>
      </x:c>
      <x:c r="AS110" s="12" t="n">
        <x:v>16.5</x:v>
      </x:c>
      <x:c r="AT110" s="12" t="str">
        <x:v>uA/cm2</x:v>
      </x:c>
      <x:c r="AU110" s="12"/>
      <x:c r="AV110" s="12"/>
      <x:c r="AW110" s="12"/>
      <x:c r="AX110" s="12"/>
      <x:c r="AY110" s="12"/>
      <x:c r="AZ110" s="12"/>
      <x:c r="BA110" s="12" t="n">
        <x:v>20</x:v>
      </x:c>
      <x:c r="BB110" s="17" t="b">
        <x:v>0</x:v>
      </x:c>
      <x:c r="BC110" s="17" t="b">
        <x:v>0</x:v>
      </x:c>
      <x:c r="BD110" s="12" t="str">
        <x:v>P; S; Cr; Cu; T.N.(Total Nitrogen); Nb; V; Sb; Ce; La; Pr; W; Y; La+Ce_합산; Fe; PREN; 열처리 온도(°C); Time(min); 냉각방식; 온도(°C)</x:v>
      </x:c>
      <x:c r="BE110" s="12" t="str">
        <x:v>P/S and bulk RE unreported. Ferroalloy addition to powdered flux is not weld residual Ce/La. No base-plate composition substitution.</x:v>
      </x:c>
    </x:row>
    <x:row r="111" ht="40" customHeight="1">
      <x:c r="A111" s="12" t="n">
        <x:v>46</x:v>
      </x:c>
      <x:c r="B111" s="13" t="str">
        <x:v>316L ODS 오스테나이트강(Y2O3 1/3/5 wt% 분산, SPS 소결)</x:v>
      </x:c>
      <x:c r="C111" s="13" t="str">
        <x:v>316L_ref</x:v>
      </x:c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2"/>
      <x:c r="Z111" s="12"/>
      <x:c r="AA111" s="15"/>
      <x:c r="AB111" s="15"/>
      <x:c r="AC111" s="12"/>
      <x:c r="AD111" s="12" t="str">
        <x:v>artificial_seawater</x:v>
      </x:c>
      <x:c r="AE111" s="12"/>
      <x:c r="AF111" s="12"/>
      <x:c r="AG111" s="12"/>
      <x:c r="AH111" s="12" t="n">
        <x:v>25</x:v>
      </x:c>
      <x:c r="AI111" s="12" t="str">
        <x:v>ACLE</x:v>
      </x:c>
      <x:c r="AJ111" s="12"/>
      <x:c r="AK111" s="16" t="n">
        <x:v>-0.22</x:v>
      </x:c>
      <x:c r="AL111" s="16"/>
      <x:c r="AM111" s="12" t="str">
        <x:v>WM46_316L_ref</x:v>
      </x:c>
      <x:c r="AN111" s="12" t="str">
        <x:v>10.3390/ma18030641</x:v>
      </x:c>
      <x:c r="AO111" s="12" t="str">
        <x:v>https://doi.org/10.3390/ma18030641</x:v>
      </x:c>
      <x:c r="AP111" s="12" t="str">
        <x:v>Processing methods; Table4 electrochemistry PDF p10; Table5 EPR</x:v>
      </x:c>
      <x:c r="AQ111" s="12" t="str">
        <x:v>primary_source_transcription</x:v>
      </x:c>
      <x:c r="AR111" s="12" t="str">
        <x:v>not_reported</x:v>
      </x:c>
      <x:c r="AS111" s="12"/>
      <x:c r="AT111" s="12"/>
      <x:c r="AU111" s="12"/>
      <x:c r="AV111" s="12"/>
      <x:c r="AW111" s="12"/>
      <x:c r="AX111" s="12"/>
      <x:c r="AY111" s="12"/>
      <x:c r="AZ111" s="12"/>
      <x:c r="BA111" s="12" t="n">
        <x:v>30</x:v>
      </x:c>
      <x:c r="BB111" s="17" t="b">
        <x:v>0</x:v>
      </x:c>
      <x:c r="BC111" s="17" t="b">
        <x:v>0</x:v>
      </x:c>
      <x:c r="BD111" s="12" t="str">
        <x:v>C; Si; Mn; P; S; Cr; Ni; Mo; Cu; T.N.(Total Nitrogen); Nb; V; Ti; Al; Sb; Ce; La; Pr; W; Y; La+Ce_합산; Fe; PREN; 열처리 온도(°C); Time(min); 냉각방식; 전해질 농도(wt%); 침지시간(min); 주사속도(mV/s); icorr(A/cm2)</x:v>
      </x:c>
      <x:c r="BE111" s="12" t="str">
        <x:v>No quantitative elemental chemistry table. Y2O3 powder addition kept separate from bulk Y. Table4 has Ecorr/Eb but no icorr;5Y sample not present in Table4.</x:v>
      </x:c>
    </x:row>
    <x:row r="112" ht="40" customHeight="1">
      <x:c r="A112" s="12" t="n">
        <x:v>46</x:v>
      </x:c>
      <x:c r="B112" s="13" t="str">
        <x:v>316L ODS 오스테나이트강(Y2O3 1/3/5 wt% 분산, SPS 소결)</x:v>
      </x:c>
      <x:c r="C112" s="13" t="str">
        <x:v>316L_SPS</x:v>
      </x:c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2"/>
      <x:c r="Z112" s="12"/>
      <x:c r="AA112" s="15"/>
      <x:c r="AB112" s="15"/>
      <x:c r="AC112" s="12"/>
      <x:c r="AD112" s="12" t="str">
        <x:v>artificial_seawater</x:v>
      </x:c>
      <x:c r="AE112" s="12"/>
      <x:c r="AF112" s="12"/>
      <x:c r="AG112" s="12"/>
      <x:c r="AH112" s="12" t="n">
        <x:v>25</x:v>
      </x:c>
      <x:c r="AI112" s="12" t="str">
        <x:v>ACLE</x:v>
      </x:c>
      <x:c r="AJ112" s="12"/>
      <x:c r="AK112" s="16" t="n">
        <x:v>-0.225</x:v>
      </x:c>
      <x:c r="AL112" s="16"/>
      <x:c r="AM112" s="12" t="str">
        <x:v>WM46_316L_SPS</x:v>
      </x:c>
      <x:c r="AN112" s="12" t="str">
        <x:v>10.3390/ma18030641</x:v>
      </x:c>
      <x:c r="AO112" s="12" t="str">
        <x:v>https://doi.org/10.3390/ma18030641</x:v>
      </x:c>
      <x:c r="AP112" s="12" t="str">
        <x:v>Processing methods; Table4 electrochemistry PDF p10; Table5 EPR</x:v>
      </x:c>
      <x:c r="AQ112" s="12" t="str">
        <x:v>primary_source_transcription</x:v>
      </x:c>
      <x:c r="AR112" s="12" t="str">
        <x:v>not_reported</x:v>
      </x:c>
      <x:c r="AS112" s="12"/>
      <x:c r="AT112" s="12"/>
      <x:c r="AU112" s="12"/>
      <x:c r="AV112" s="12"/>
      <x:c r="AW112" s="12"/>
      <x:c r="AX112" s="12"/>
      <x:c r="AY112" s="12"/>
      <x:c r="AZ112" s="12"/>
      <x:c r="BA112" s="12" t="n">
        <x:v>30</x:v>
      </x:c>
      <x:c r="BB112" s="17" t="b">
        <x:v>0</x:v>
      </x:c>
      <x:c r="BC112" s="17" t="b">
        <x:v>0</x:v>
      </x:c>
      <x:c r="BD112" s="12" t="str">
        <x:v>C; Si; Mn; P; S; Cr; Ni; Mo; Cu; T.N.(Total Nitrogen); Nb; V; Ti; Al; Sb; Ce; La; Pr; W; Y; La+Ce_합산; Fe; PREN; 열처리 온도(°C); Time(min); 냉각방식; 전해질 농도(wt%); 침지시간(min); 주사속도(mV/s); icorr(A/cm2)</x:v>
      </x:c>
      <x:c r="BE112" s="12" t="str">
        <x:v>No quantitative elemental chemistry table. Y2O3 powder addition kept separate from bulk Y. Table4 has Ecorr/Eb but no icorr;5Y sample not present in Table4.</x:v>
      </x:c>
    </x:row>
    <x:row r="113" ht="40" customHeight="1">
      <x:c r="A113" s="12" t="n">
        <x:v>46</x:v>
      </x:c>
      <x:c r="B113" s="13" t="str">
        <x:v>316L ODS 오스테나이트강(Y2O3 1/3/5 wt% 분산, SPS 소결)</x:v>
      </x:c>
      <x:c r="C113" s="13" t="str">
        <x:v>316L_1Y2O3</x:v>
      </x:c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2"/>
      <x:c r="Z113" s="12"/>
      <x:c r="AA113" s="15"/>
      <x:c r="AB113" s="15"/>
      <x:c r="AC113" s="12"/>
      <x:c r="AD113" s="12" t="str">
        <x:v>artificial_seawater</x:v>
      </x:c>
      <x:c r="AE113" s="12"/>
      <x:c r="AF113" s="12"/>
      <x:c r="AG113" s="12"/>
      <x:c r="AH113" s="12" t="n">
        <x:v>25</x:v>
      </x:c>
      <x:c r="AI113" s="12" t="str">
        <x:v>ACLE</x:v>
      </x:c>
      <x:c r="AJ113" s="12"/>
      <x:c r="AK113" s="16" t="n">
        <x:v>-0.2</x:v>
      </x:c>
      <x:c r="AL113" s="16"/>
      <x:c r="AM113" s="12" t="str">
        <x:v>WM46_316L_1Y2O3</x:v>
      </x:c>
      <x:c r="AN113" s="12" t="str">
        <x:v>10.3390/ma18030641</x:v>
      </x:c>
      <x:c r="AO113" s="12" t="str">
        <x:v>https://doi.org/10.3390/ma18030641</x:v>
      </x:c>
      <x:c r="AP113" s="12" t="str">
        <x:v>Processing methods; Table4 electrochemistry PDF p10; Table5 EPR</x:v>
      </x:c>
      <x:c r="AQ113" s="12" t="str">
        <x:v>primary_source_transcription</x:v>
      </x:c>
      <x:c r="AR113" s="12" t="str">
        <x:v>not_reported</x:v>
      </x:c>
      <x:c r="AS113" s="12"/>
      <x:c r="AT113" s="12"/>
      <x:c r="AU113" s="12"/>
      <x:c r="AV113" s="12"/>
      <x:c r="AW113" s="12"/>
      <x:c r="AX113" s="12"/>
      <x:c r="AY113" s="12" t="n">
        <x:v>1</x:v>
      </x:c>
      <x:c r="AZ113" s="12"/>
      <x:c r="BA113" s="12" t="n">
        <x:v>30</x:v>
      </x:c>
      <x:c r="BB113" s="17" t="b">
        <x:v>0</x:v>
      </x:c>
      <x:c r="BC113" s="17" t="b">
        <x:v>0</x:v>
      </x:c>
      <x:c r="BD113" s="12" t="str">
        <x:v>C; Si; Mn; P; S; Cr; Ni; Mo; Cu; T.N.(Total Nitrogen); Nb; V; Ti; Al; Sb; Ce; La; Pr; W; Y; La+Ce_합산; Fe; PREN; 열처리 온도(°C); Time(min); 냉각방식; 전해질 농도(wt%); 침지시간(min); 주사속도(mV/s); icorr(A/cm2)</x:v>
      </x:c>
      <x:c r="BE113" s="12" t="str">
        <x:v>No quantitative elemental chemistry table. Y2O3 powder addition kept separate from bulk Y. Table4 has Ecorr/Eb but no icorr;5Y sample not present in Table4.</x:v>
      </x:c>
    </x:row>
    <x:row r="114" ht="40" customHeight="1">
      <x:c r="A114" s="12" t="n">
        <x:v>46</x:v>
      </x:c>
      <x:c r="B114" s="13" t="str">
        <x:v>316L ODS 오스테나이트강(Y2O3 1/3/5 wt% 분산, SPS 소결)</x:v>
      </x:c>
      <x:c r="C114" s="13" t="str">
        <x:v>316L_3Y2O3</x:v>
      </x:c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2"/>
      <x:c r="Z114" s="12"/>
      <x:c r="AA114" s="15"/>
      <x:c r="AB114" s="15"/>
      <x:c r="AC114" s="12"/>
      <x:c r="AD114" s="12" t="str">
        <x:v>artificial_seawater</x:v>
      </x:c>
      <x:c r="AE114" s="12"/>
      <x:c r="AF114" s="12"/>
      <x:c r="AG114" s="12"/>
      <x:c r="AH114" s="12" t="n">
        <x:v>25</x:v>
      </x:c>
      <x:c r="AI114" s="12" t="str">
        <x:v>ACLE</x:v>
      </x:c>
      <x:c r="AJ114" s="12"/>
      <x:c r="AK114" s="16" t="n">
        <x:v>-0.235</x:v>
      </x:c>
      <x:c r="AL114" s="16"/>
      <x:c r="AM114" s="12" t="str">
        <x:v>WM46_316L_3Y2O3</x:v>
      </x:c>
      <x:c r="AN114" s="12" t="str">
        <x:v>10.3390/ma18030641</x:v>
      </x:c>
      <x:c r="AO114" s="12" t="str">
        <x:v>https://doi.org/10.3390/ma18030641</x:v>
      </x:c>
      <x:c r="AP114" s="12" t="str">
        <x:v>Processing methods; Table4 electrochemistry PDF p10; Table5 EPR</x:v>
      </x:c>
      <x:c r="AQ114" s="12" t="str">
        <x:v>primary_source_transcription</x:v>
      </x:c>
      <x:c r="AR114" s="12" t="str">
        <x:v>not_reported</x:v>
      </x:c>
      <x:c r="AS114" s="12"/>
      <x:c r="AT114" s="12"/>
      <x:c r="AU114" s="12"/>
      <x:c r="AV114" s="12"/>
      <x:c r="AW114" s="12"/>
      <x:c r="AX114" s="12"/>
      <x:c r="AY114" s="12" t="n">
        <x:v>3</x:v>
      </x:c>
      <x:c r="AZ114" s="12"/>
      <x:c r="BA114" s="12" t="n">
        <x:v>30</x:v>
      </x:c>
      <x:c r="BB114" s="17" t="b">
        <x:v>0</x:v>
      </x:c>
      <x:c r="BC114" s="17" t="b">
        <x:v>0</x:v>
      </x:c>
      <x:c r="BD114" s="12" t="str">
        <x:v>C; Si; Mn; P; S; Cr; Ni; Mo; Cu; T.N.(Total Nitrogen); Nb; V; Ti; Al; Sb; Ce; La; Pr; W; Y; La+Ce_합산; Fe; PREN; 열처리 온도(°C); Time(min); 냉각방식; 전해질 농도(wt%); 침지시간(min); 주사속도(mV/s); icorr(A/cm2)</x:v>
      </x:c>
      <x:c r="BE114" s="12" t="str">
        <x:v>No quantitative elemental chemistry table. Y2O3 powder addition kept separate from bulk Y. Table4 has Ecorr/Eb but no icorr;5Y sample not present in Table4.</x:v>
      </x:c>
    </x:row>
    <x:row r="115" ht="40" customHeight="1">
      <x:c r="A115" s="12" t="n">
        <x:v>46</x:v>
      </x:c>
      <x:c r="B115" s="13" t="str">
        <x:v>316L ODS 오스테나이트강(Y2O3 1/3/5 wt% 분산, SPS 소결)</x:v>
      </x:c>
      <x:c r="C115" s="13" t="str">
        <x:v>316L_5Y2O3</x:v>
      </x:c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2"/>
      <x:c r="Z115" s="12"/>
      <x:c r="AA115" s="15"/>
      <x:c r="AB115" s="15"/>
      <x:c r="AC115" s="12"/>
      <x:c r="AD115" s="12" t="str">
        <x:v>artificial_seawater</x:v>
      </x:c>
      <x:c r="AE115" s="12"/>
      <x:c r="AF115" s="12"/>
      <x:c r="AG115" s="12"/>
      <x:c r="AH115" s="12" t="n">
        <x:v>25</x:v>
      </x:c>
      <x:c r="AI115" s="12" t="str">
        <x:v>ACLE</x:v>
      </x:c>
      <x:c r="AJ115" s="12"/>
      <x:c r="AK115" s="16"/>
      <x:c r="AL115" s="16"/>
      <x:c r="AM115" s="12" t="str">
        <x:v>WM46_316L_5Y2O3</x:v>
      </x:c>
      <x:c r="AN115" s="12" t="str">
        <x:v>10.3390/ma18030641</x:v>
      </x:c>
      <x:c r="AO115" s="12" t="str">
        <x:v>https://doi.org/10.3390/ma18030641</x:v>
      </x:c>
      <x:c r="AP115" s="12" t="str">
        <x:v>Processing methods; Table4 electrochemistry PDF p10; Table5 EPR</x:v>
      </x:c>
      <x:c r="AQ115" s="12" t="str">
        <x:v>primary_source_transcription</x:v>
      </x:c>
      <x:c r="AR115" s="12" t="str">
        <x:v>not_reported</x:v>
      </x:c>
      <x:c r="AS115" s="12"/>
      <x:c r="AT115" s="12"/>
      <x:c r="AU115" s="12"/>
      <x:c r="AV115" s="12"/>
      <x:c r="AW115" s="12"/>
      <x:c r="AX115" s="12"/>
      <x:c r="AY115" s="12" t="n">
        <x:v>5</x:v>
      </x:c>
      <x:c r="AZ115" s="12"/>
      <x:c r="BA115" s="12" t="n">
        <x:v>31</x:v>
      </x:c>
      <x:c r="BB115" s="17" t="b">
        <x:v>0</x:v>
      </x:c>
      <x:c r="BC115" s="17" t="b">
        <x:v>0</x:v>
      </x:c>
      <x:c r="BD115" s="12" t="str">
        <x:v>C; Si; Mn; P; S; Cr; Ni; Mo; Cu; T.N.(Total Nitrogen); Nb; V; Ti; Al; Sb; Ce; La; Pr; W; Y; La+Ce_합산; Fe; PREN; 열처리 온도(°C); Time(min); 냉각방식; 전해질 농도(wt%); 침지시간(min); 주사속도(mV/s); Ecorr(V); icorr(A/cm2)</x:v>
      </x:c>
      <x:c r="BE115" s="12" t="str">
        <x:v>No quantitative elemental chemistry table. Y2O3 powder addition kept separate from bulk Y. Table4 has Ecorr/Eb but no icorr;5Y sample not present in Table4.</x:v>
      </x:c>
    </x:row>
  </x:sheetData>
  <x:pageMargins left="0.7" right="0.7" top="0.75" bottom="0.75" header="0.3" footer="0.3"/>
  <x:tableParts count="1">
    <x:tablePart xmlns:r="http://schemas.openxmlformats.org/officeDocument/2006/relationships" r:id="Rdbec15820f3d491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78" hidden="0" customWidth="1"/>
  </x:cols>
  <x:sheetData>
    <x:row r="1">
      <x:c r="A1" s="19" t="str">
        <x:v>문헌 데이터 확보 현황</x:v>
      </x:c>
      <x:c r="B1" s="18"/>
      <x:c r="C1" s="18"/>
      <x:c r="D1" s="18"/>
      <x:c r="E1" s="18"/>
    </x:row>
    <x:row r="2">
      <x:c r="A2" s="18"/>
      <x:c r="B2" s="18"/>
      <x:c r="C2" s="18"/>
      <x:c r="D2" s="18"/>
      <x:c r="E2" s="18"/>
    </x:row>
    <x:row r="3" ht="35" customHeight="1">
      <x:c r="A3" s="22" t="str">
        <x:v>수집 행</x:v>
      </x:c>
      <x:c r="B3" s="22" t="str">
        <x:v>수집 문헌</x:v>
      </x:c>
      <x:c r="C3" s="22" t="str">
        <x:v>icorr 확보 행</x:v>
      </x:c>
      <x:c r="D3" s="22" t="str">
        <x:v>전체 34개 항목 완비 행</x:v>
      </x:c>
      <x:c r="E3" s="18"/>
    </x:row>
    <x:row r="4">
      <x:c r="A4" s="18" t="n">
        <x:v>114</x:v>
      </x:c>
      <x:c r="B4" s="18" t="n">
        <x:v>26</x:v>
      </x:c>
      <x:c r="C4" s="18" t="n">
        <x:v>57</x:v>
      </x:c>
      <x:c r="D4" s="18" t="n">
        <x:v>0</x:v>
      </x:c>
      <x:c r="E4" s="18"/>
    </x:row>
    <x:row r="5">
      <x:c r="A5" s="18"/>
      <x:c r="B5" s="18"/>
      <x:c r="C5" s="18"/>
      <x:c r="D5" s="18"/>
      <x:c r="E5" s="18"/>
    </x:row>
    <x:row r="6" ht="26" customHeight="1">
      <x:c r="A6" s="25" t="str">
        <x:v>항목</x:v>
      </x:c>
      <x:c r="B6" s="25" t="str">
        <x:v>값 확보 행</x:v>
      </x:c>
      <x:c r="C6" s="25" t="str">
        <x:v>미확보 행</x:v>
      </x:c>
      <x:c r="D6" s="25" t="str">
        <x:v>확보율</x:v>
      </x:c>
      <x:c r="E6" s="18" t="str">
        <x:v>처리 원칙</x:v>
      </x:c>
    </x:row>
    <x:row r="7" ht="26" customHeight="1">
      <x:c r="A7" s="18" t="str">
        <x:v>C</x:v>
      </x:c>
      <x:c r="B7" s="18" t="n">
        <x:v>109</x:v>
      </x:c>
      <x:c r="C7" s="18" t="n">
        <x:v>5</x:v>
      </x:c>
      <x:c r="D7" s="23" t="n">
        <x:f>B7/(B7+C7)</x:f>
        <x:v>0.956140350877193</x:v>
      </x:c>
      <x:c r="E7" s="18" t="str">
        <x:v>미보고 값을 0·평균·강종 대표값으로 채우지 않음</x:v>
      </x:c>
    </x:row>
    <x:row r="8" ht="26" customHeight="1">
      <x:c r="A8" s="18" t="str">
        <x:v>Si</x:v>
      </x:c>
      <x:c r="B8" s="18" t="n">
        <x:v>103</x:v>
      </x:c>
      <x:c r="C8" s="18" t="n">
        <x:v>11</x:v>
      </x:c>
      <x:c r="D8" s="23" t="n">
        <x:f>B8/(B8+C8)</x:f>
        <x:v>0.9035087719298246</x:v>
      </x:c>
      <x:c r="E8" s="18" t="str">
        <x:v>표면 산화물·침투제 첨가량을 벌크 RE 함량으로 바꾸지 않음</x:v>
      </x:c>
    </x:row>
    <x:row r="9" ht="26" customHeight="1">
      <x:c r="A9" s="18" t="str">
        <x:v>Mn</x:v>
      </x:c>
      <x:c r="B9" s="18" t="n">
        <x:v>109</x:v>
      </x:c>
      <x:c r="C9" s="18" t="n">
        <x:v>5</x:v>
      </x:c>
      <x:c r="D9" s="23" t="n">
        <x:f>B9/(B9+C9)</x:f>
        <x:v>0.956140350877193</x:v>
      </x:c>
      <x:c r="E9" s="18" t="str">
        <x:v>Ipass·공식전위·질량감소를 icorr로 바꾸지 않음</x:v>
      </x:c>
    </x:row>
    <x:row r="10" ht="26" customHeight="1">
      <x:c r="A10" s="18" t="str">
        <x:v>P</x:v>
      </x:c>
      <x:c r="B10" s="18" t="n">
        <x:v>81</x:v>
      </x:c>
      <x:c r="C10" s="18" t="n">
        <x:v>33</x:v>
      </x:c>
      <x:c r="D10" s="23" t="n">
        <x:f>B10/(B10+C10)</x:f>
        <x:v>0.7105263157894737</x:v>
      </x:c>
      <x:c r="E10" s="18" t="str">
        <x:v>전체 컬럼 기준으로 학습에 투입 가능한 행: 0</x:v>
      </x:c>
    </x:row>
    <x:row r="11" ht="26" customHeight="1">
      <x:c r="A11" s="18" t="str">
        <x:v>S</x:v>
      </x:c>
      <x:c r="B11" s="18" t="n">
        <x:v>76</x:v>
      </x:c>
      <x:c r="C11" s="18" t="n">
        <x:v>38</x:v>
      </x:c>
      <x:c r="D11" s="23" t="n">
        <x:f>B11/(B11+C11)</x:f>
        <x:v>0.6666666666666666</x:v>
      </x:c>
      <x:c r="E11" s="18" t="str">
        <x:v>신규 수집 82행. 기존 자료 32행은 이번에 전체 원문 재검증하지 않음</x:v>
      </x:c>
    </x:row>
    <x:row r="12" ht="26" customHeight="1">
      <x:c r="A12" s="18" t="str">
        <x:v>Cr</x:v>
      </x:c>
      <x:c r="B12" s="18" t="n">
        <x:v>79</x:v>
      </x:c>
      <x:c r="C12" s="18" t="n">
        <x:v>35</x:v>
      </x:c>
      <x:c r="D12" s="23" t="n">
        <x:f>B12/(B12+C12)</x:f>
        <x:v>0.6929824561403509</x:v>
      </x:c>
      <x:c r="E12" s="18" t="str">
        <x:v>49편 중 23편은 원문 재확보·추출이 남아 있음</x:v>
      </x:c>
    </x:row>
    <x:row r="13" ht="26" customHeight="1">
      <x:c r="A13" s="18" t="str">
        <x:v>Ni</x:v>
      </x:c>
      <x:c r="B13" s="18" t="n">
        <x:v>59</x:v>
      </x:c>
      <x:c r="C13" s="18" t="n">
        <x:v>55</x:v>
      </x:c>
      <x:c r="D13" s="23" t="n">
        <x:f>B13/(B13+C13)</x:f>
        <x:v>0.5175438596491229</x:v>
      </x:c>
      <x:c r="E13" s="18" t="str">
        <x:v>원본 데이터마이닝 시트의 행 연결 오류를 그대로 학습하지 않음</x:v>
      </x:c>
    </x:row>
    <x:row r="14" ht="26" customHeight="1">
      <x:c r="A14" s="18" t="str">
        <x:v>Mo</x:v>
      </x:c>
      <x:c r="B14" s="18" t="n">
        <x:v>41</x:v>
      </x:c>
      <x:c r="C14" s="18" t="n">
        <x:v>73</x:v>
      </x:c>
      <x:c r="D14" s="23" t="n">
        <x:f>B14/(B14+C14)</x:f>
        <x:v>0.35964912280701755</x:v>
      </x:c>
      <x:c r="E14" s="18" t="str">
        <x:v>공란은 미확보 값. 표의 Balance는 원문 표기이며 수치가 아님</x:v>
      </x:c>
    </x:row>
    <x:row r="15" ht="26" customHeight="1">
      <x:c r="A15" s="18" t="str">
        <x:v>Cu</x:v>
      </x:c>
      <x:c r="B15" s="18" t="n">
        <x:v>46</x:v>
      </x:c>
      <x:c r="C15" s="18" t="n">
        <x:v>68</x:v>
      </x:c>
      <x:c r="D15" s="23" t="n">
        <x:f>B15/(B15+C15)</x:f>
        <x:v>0.40350877192982454</x:v>
      </x:c>
      <x:c r="E15" s="18"/>
    </x:row>
    <x:row r="16" ht="26" customHeight="1">
      <x:c r="A16" s="18" t="str">
        <x:v>T.N.(Total Nitrogen)</x:v>
      </x:c>
      <x:c r="B16" s="18" t="n">
        <x:v>26</x:v>
      </x:c>
      <x:c r="C16" s="18" t="n">
        <x:v>88</x:v>
      </x:c>
      <x:c r="D16" s="23" t="n">
        <x:f>B16/(B16+C16)</x:f>
        <x:v>0.22807017543859648</x:v>
      </x:c>
      <x:c r="E16" s="18"/>
    </x:row>
    <x:row r="17" ht="26" customHeight="1">
      <x:c r="A17" s="18" t="str">
        <x:v>Nb</x:v>
      </x:c>
      <x:c r="B17" s="18" t="n">
        <x:v>3</x:v>
      </x:c>
      <x:c r="C17" s="18" t="n">
        <x:v>111</x:v>
      </x:c>
      <x:c r="D17" s="23" t="n">
        <x:f>B17/(B17+C17)</x:f>
        <x:v>0.02631578947368421</x:v>
      </x:c>
      <x:c r="E17" s="18"/>
    </x:row>
    <x:row r="18" ht="26" customHeight="1">
      <x:c r="A18" s="18" t="str">
        <x:v>V</x:v>
      </x:c>
      <x:c r="B18" s="18" t="n">
        <x:v>4</x:v>
      </x:c>
      <x:c r="C18" s="18" t="n">
        <x:v>110</x:v>
      </x:c>
      <x:c r="D18" s="23" t="n">
        <x:f>B18/(B18+C18)</x:f>
        <x:v>0.03508771929824561</x:v>
      </x:c>
      <x:c r="E18" s="18"/>
    </x:row>
    <x:row r="19" ht="26" customHeight="1">
      <x:c r="A19" s="18" t="str">
        <x:v>Ti</x:v>
      </x:c>
      <x:c r="B19" s="18" t="n">
        <x:v>15</x:v>
      </x:c>
      <x:c r="C19" s="18" t="n">
        <x:v>99</x:v>
      </x:c>
      <x:c r="D19" s="23" t="n">
        <x:f>B19/(B19+C19)</x:f>
        <x:v>0.13157894736842105</x:v>
      </x:c>
      <x:c r="E19" s="18"/>
    </x:row>
    <x:row r="20" ht="26" customHeight="1">
      <x:c r="A20" s="18" t="str">
        <x:v>Al</x:v>
      </x:c>
      <x:c r="B20" s="18" t="n">
        <x:v>31</x:v>
      </x:c>
      <x:c r="C20" s="18" t="n">
        <x:v>83</x:v>
      </x:c>
      <x:c r="D20" s="23" t="n">
        <x:f>B20/(B20+C20)</x:f>
        <x:v>0.2719298245614035</x:v>
      </x:c>
      <x:c r="E20" s="18"/>
    </x:row>
    <x:row r="21" ht="26" customHeight="1">
      <x:c r="A21" s="18" t="str">
        <x:v>Sb</x:v>
      </x:c>
      <x:c r="B21" s="18" t="n">
        <x:v>0</x:v>
      </x:c>
      <x:c r="C21" s="18" t="n">
        <x:v>114</x:v>
      </x:c>
      <x:c r="D21" s="23" t="n">
        <x:f>B21/(B21+C21)</x:f>
        <x:v>0</x:v>
      </x:c>
      <x:c r="E21" s="18"/>
    </x:row>
    <x:row r="22" ht="26" customHeight="1">
      <x:c r="A22" s="18" t="str">
        <x:v>Ce</x:v>
      </x:c>
      <x:c r="B22" s="18" t="n">
        <x:v>39</x:v>
      </x:c>
      <x:c r="C22" s="18" t="n">
        <x:v>75</x:v>
      </x:c>
      <x:c r="D22" s="23" t="n">
        <x:f>B22/(B22+C22)</x:f>
        <x:v>0.34210526315789475</x:v>
      </x:c>
      <x:c r="E22" s="18"/>
    </x:row>
    <x:row r="23" ht="26" customHeight="1">
      <x:c r="A23" s="18" t="str">
        <x:v>La</x:v>
      </x:c>
      <x:c r="B23" s="18" t="n">
        <x:v>11</x:v>
      </x:c>
      <x:c r="C23" s="18" t="n">
        <x:v>103</x:v>
      </x:c>
      <x:c r="D23" s="23" t="n">
        <x:f>B23/(B23+C23)</x:f>
        <x:v>0.09649122807017543</x:v>
      </x:c>
      <x:c r="E23" s="18"/>
    </x:row>
    <x:row r="24" ht="26" customHeight="1">
      <x:c r="A24" s="18" t="str">
        <x:v>Pr</x:v>
      </x:c>
      <x:c r="B24" s="18" t="n">
        <x:v>1</x:v>
      </x:c>
      <x:c r="C24" s="18" t="n">
        <x:v>113</x:v>
      </x:c>
      <x:c r="D24" s="23" t="n">
        <x:f>B24/(B24+C24)</x:f>
        <x:v>0.008771929824561403</x:v>
      </x:c>
      <x:c r="E24" s="18"/>
    </x:row>
    <x:row r="25" ht="26" customHeight="1">
      <x:c r="A25" s="18" t="str">
        <x:v>W</x:v>
      </x:c>
      <x:c r="B25" s="18" t="n">
        <x:v>7</x:v>
      </x:c>
      <x:c r="C25" s="18" t="n">
        <x:v>107</x:v>
      </x:c>
      <x:c r="D25" s="23" t="n">
        <x:f>B25/(B25+C25)</x:f>
        <x:v>0.06140350877192982</x:v>
      </x:c>
      <x:c r="E25" s="18"/>
    </x:row>
    <x:row r="26" ht="26" customHeight="1">
      <x:c r="A26" s="18" t="str">
        <x:v>Y</x:v>
      </x:c>
      <x:c r="B26" s="18" t="n">
        <x:v>11</x:v>
      </x:c>
      <x:c r="C26" s="18" t="n">
        <x:v>103</x:v>
      </x:c>
      <x:c r="D26" s="23" t="n">
        <x:f>B26/(B26+C26)</x:f>
        <x:v>0.09649122807017543</x:v>
      </x:c>
      <x:c r="E26" s="18"/>
    </x:row>
    <x:row r="27" ht="26" customHeight="1">
      <x:c r="A27" s="18" t="str">
        <x:v>La+Ce_합산</x:v>
      </x:c>
      <x:c r="B27" s="18" t="n">
        <x:v>18</x:v>
      </x:c>
      <x:c r="C27" s="18" t="n">
        <x:v>96</x:v>
      </x:c>
      <x:c r="D27" s="23" t="n">
        <x:f>B27/(B27+C27)</x:f>
        <x:v>0.15789473684210525</x:v>
      </x:c>
      <x:c r="E27" s="18"/>
    </x:row>
    <x:row r="28" ht="26" customHeight="1">
      <x:c r="A28" s="18" t="str">
        <x:v>Fe</x:v>
      </x:c>
      <x:c r="B28" s="18" t="n">
        <x:v>43</x:v>
      </x:c>
      <x:c r="C28" s="18" t="n">
        <x:v>71</x:v>
      </x:c>
      <x:c r="D28" s="23" t="n">
        <x:f>B28/(B28+C28)</x:f>
        <x:v>0.37719298245614036</x:v>
      </x:c>
      <x:c r="E28" s="18"/>
    </x:row>
    <x:row r="29" ht="26" customHeight="1">
      <x:c r="A29" s="18" t="str">
        <x:v>PREN</x:v>
      </x:c>
      <x:c r="B29" s="18" t="n">
        <x:v>22</x:v>
      </x:c>
      <x:c r="C29" s="18" t="n">
        <x:v>92</x:v>
      </x:c>
      <x:c r="D29" s="23" t="n">
        <x:f>B29/(B29+C29)</x:f>
        <x:v>0.19298245614035087</x:v>
      </x:c>
      <x:c r="E29" s="18"/>
    </x:row>
    <x:row r="30" ht="26" customHeight="1">
      <x:c r="A30" s="18" t="str">
        <x:v>열처리 온도(°C)</x:v>
      </x:c>
      <x:c r="B30" s="18" t="n">
        <x:v>28</x:v>
      </x:c>
      <x:c r="C30" s="18" t="n">
        <x:v>86</x:v>
      </x:c>
      <x:c r="D30" s="23" t="n">
        <x:f>B30/(B30+C30)</x:f>
        <x:v>0.24561403508771928</x:v>
      </x:c>
      <x:c r="E30" s="18"/>
    </x:row>
    <x:row r="31" ht="26" customHeight="1">
      <x:c r="A31" s="18" t="str">
        <x:v>Time(min)</x:v>
      </x:c>
      <x:c r="B31" s="18" t="n">
        <x:v>25</x:v>
      </x:c>
      <x:c r="C31" s="18" t="n">
        <x:v>89</x:v>
      </x:c>
      <x:c r="D31" s="23" t="n">
        <x:f>B31/(B31+C31)</x:f>
        <x:v>0.21929824561403508</x:v>
      </x:c>
      <x:c r="E31" s="18"/>
    </x:row>
    <x:row r="32" ht="26" customHeight="1">
      <x:c r="A32" s="18" t="str">
        <x:v>냉각방식</x:v>
      </x:c>
      <x:c r="B32" s="18" t="n">
        <x:v>36</x:v>
      </x:c>
      <x:c r="C32" s="18" t="n">
        <x:v>78</x:v>
      </x:c>
      <x:c r="D32" s="23" t="n">
        <x:f>B32/(B32+C32)</x:f>
        <x:v>0.3157894736842105</x:v>
      </x:c>
      <x:c r="E32" s="18"/>
    </x:row>
    <x:row r="33" ht="26" customHeight="1">
      <x:c r="A33" s="18" t="str">
        <x:v>전해질</x:v>
      </x:c>
      <x:c r="B33" s="18" t="n">
        <x:v>103</x:v>
      </x:c>
      <x:c r="C33" s="18" t="n">
        <x:v>11</x:v>
      </x:c>
      <x:c r="D33" s="23" t="n">
        <x:f>B33/(B33+C33)</x:f>
        <x:v>0.9035087719298246</x:v>
      </x:c>
      <x:c r="E33" s="18"/>
    </x:row>
    <x:row r="34" ht="26" customHeight="1">
      <x:c r="A34" s="18" t="str">
        <x:v>전해질 농도(wt%)</x:v>
      </x:c>
      <x:c r="B34" s="18" t="n">
        <x:v>60</x:v>
      </x:c>
      <x:c r="C34" s="18" t="n">
        <x:v>54</x:v>
      </x:c>
      <x:c r="D34" s="23" t="n">
        <x:f>B34/(B34+C34)</x:f>
        <x:v>0.5263157894736842</x:v>
      </x:c>
      <x:c r="E34" s="18"/>
    </x:row>
    <x:row r="35" ht="26" customHeight="1">
      <x:c r="A35" s="18" t="str">
        <x:v>침지시간(min)</x:v>
      </x:c>
      <x:c r="B35" s="18" t="n">
        <x:v>15</x:v>
      </x:c>
      <x:c r="C35" s="18" t="n">
        <x:v>99</x:v>
      </x:c>
      <x:c r="D35" s="23" t="n">
        <x:f>B35/(B35+C35)</x:f>
        <x:v>0.13157894736842105</x:v>
      </x:c>
      <x:c r="E35" s="18"/>
    </x:row>
    <x:row r="36" ht="26" customHeight="1">
      <x:c r="A36" s="18" t="str">
        <x:v>온도(°C)</x:v>
      </x:c>
      <x:c r="B36" s="18" t="n">
        <x:v>61</x:v>
      </x:c>
      <x:c r="C36" s="18" t="n">
        <x:v>53</x:v>
      </x:c>
      <x:c r="D36" s="23" t="n">
        <x:f>B36/(B36+C36)</x:f>
        <x:v>0.5350877192982456</x:v>
      </x:c>
      <x:c r="E36" s="18"/>
    </x:row>
    <x:row r="37" ht="26" customHeight="1">
      <x:c r="A37" s="18" t="str">
        <x:v>기준전극</x:v>
      </x:c>
      <x:c r="B37" s="18" t="n">
        <x:v>92</x:v>
      </x:c>
      <x:c r="C37" s="18" t="n">
        <x:v>22</x:v>
      </x:c>
      <x:c r="D37" s="23" t="n">
        <x:f>B37/(B37+C37)</x:f>
        <x:v>0.8070175438596491</x:v>
      </x:c>
      <x:c r="E37" s="18"/>
    </x:row>
    <x:row r="38" ht="26" customHeight="1">
      <x:c r="A38" s="18" t="str">
        <x:v>주사속도(mV/s)</x:v>
      </x:c>
      <x:c r="B38" s="18" t="n">
        <x:v>67</x:v>
      </x:c>
      <x:c r="C38" s="18" t="n">
        <x:v>47</x:v>
      </x:c>
      <x:c r="D38" s="23" t="n">
        <x:f>B38/(B38+C38)</x:f>
        <x:v>0.5877192982456141</x:v>
      </x:c>
      <x:c r="E38" s="18"/>
    </x:row>
    <x:row r="39" ht="26" customHeight="1">
      <x:c r="A39" s="18" t="str">
        <x:v>Ecorr(V)</x:v>
      </x:c>
      <x:c r="B39" s="18" t="n">
        <x:v>53</x:v>
      </x:c>
      <x:c r="C39" s="18" t="n">
        <x:v>61</x:v>
      </x:c>
      <x:c r="D39" s="23" t="n">
        <x:f>B39/(B39+C39)</x:f>
        <x:v>0.4649122807017544</x:v>
      </x:c>
      <x:c r="E39" s="18"/>
    </x:row>
    <x:row r="40" ht="26" customHeight="1">
      <x:c r="A40" s="18" t="str">
        <x:v>icorr(A/cm2)</x:v>
      </x:c>
      <x:c r="B40" s="18" t="n">
        <x:v>57</x:v>
      </x:c>
      <x:c r="C40" s="18" t="n">
        <x:v>57</x:v>
      </x:c>
      <x:c r="D40" s="23" t="n">
        <x:f>B40/(B40+C40)</x:f>
        <x:v>0.5</x:v>
      </x:c>
      <x:c r="E40" s="18"/>
    </x:row>
    <x:row r="41">
      <x:c r="A41" s="18"/>
      <x:c r="B41" s="18"/>
      <x:c r="C41" s="18"/>
      <x:c r="D41" s="18"/>
      <x:c r="E41" s="18"/>
    </x:row>
    <x:row r="42">
      <x:c r="A42" s="18"/>
      <x:c r="B42" s="18"/>
      <x:c r="C42" s="18"/>
      <x:c r="D42" s="18"/>
      <x:c r="E42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7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6" hidden="0" customWidth="1"/>
    <x:col min="10" max="10" width="90" hidden="0" customWidth="1"/>
  </x:cols>
  <x:sheetData>
    <x:row r="1" ht="48" customHeight="1">
      <x:c r="A1" s="7" t="str">
        <x:v>paper_number</x:v>
      </x:c>
      <x:c r="B1" s="7" t="str">
        <x:v>doi</x:v>
      </x:c>
      <x:c r="C1" s="7" t="str">
        <x:v>paper_title</x:v>
      </x:c>
      <x:c r="D1" s="7" t="str">
        <x:v>workbook_status</x:v>
      </x:c>
      <x:c r="E1" s="7" t="str">
        <x:v>collected_rows</x:v>
      </x:c>
      <x:c r="F1" s="7" t="str">
        <x:v>newly_transcribed_rows</x:v>
      </x:c>
      <x:c r="G1" s="7" t="str">
        <x:v>reported_icorr_rows</x:v>
      </x:c>
      <x:c r="H1" s="7" t="str">
        <x:v>full_measurement_rows</x:v>
      </x:c>
      <x:c r="I1" s="7" t="str">
        <x:v>this_batch_status</x:v>
      </x:c>
      <x:c r="J1" s="7" t="str">
        <x:v>workbook_note</x:v>
      </x:c>
    </x:row>
    <x:row r="2" ht="45" customHeight="1">
      <x:c r="A2" s="2" t="n">
        <x:v>1</x:v>
      </x:c>
      <x:c r="B2" s="2" t="str">
        <x:v>10.1515/rams-2022-0284</x:v>
      </x:c>
      <x:c r="C2" s="8" t="str">
        <x:v>Effects of rare earth metals on microstructure, mechanical properties, and pitting corrosion of 27% Cr hyper duplex stainless steel</x:v>
      </x:c>
      <x:c r="D2" s="2" t="str">
        <x:v>Verified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str">
        <x:v>not_transcribed_requires_source_review</x:v>
      </x:c>
      <x:c r="J2" s="2" t="str">
        <x:v>3.5wt% NaCl(탈기), REM(65Ce-35La 미쉬메탈) 0~0.057wt%, icorr 최대 83.3% 감소(가장 큰 개선폭)</x:v>
      </x:c>
    </x:row>
    <x:row r="3" ht="45" customHeight="1">
      <x:c r="A3" s="2" t="n">
        <x:v>2</x:v>
      </x:c>
      <x:c r="B3" s="2" t="str">
        <x:v>10.3390/electrochem7010003</x:v>
      </x:c>
      <x:c r="C3" s="8" t="str">
        <x:v>Yttrium-Enhanced Passive Films in Austenitic Stainless Steel</x:v>
      </x:c>
      <x:c r="D3" s="2" t="str">
        <x:v>Verified</x:v>
      </x:c>
      <x:c r="E3" s="2" t="n">
        <x:v>3</x:v>
      </x:c>
      <x:c r="F3" s="2" t="n">
        <x:v>3</x:v>
      </x:c>
      <x:c r="G3" s="2" t="n">
        <x:v>0</x:v>
      </x:c>
      <x:c r="H3" s="2" t="n">
        <x:v>0</x:v>
      </x:c>
      <x:c r="I3" s="2" t="str">
        <x:v>primary_source_transcribed</x:v>
      </x:c>
      <x:c r="J3" s="2" t="str">
        <x:v>1M H2SO4 60°C, 용접금속 Y 0.0018~0.0023wt%, 부식속도(중량감소) 74.5% 감소</x:v>
      </x:c>
    </x:row>
    <x:row r="4" ht="45" customHeight="1">
      <x:c r="A4" s="2" t="n">
        <x:v>3</x:v>
      </x:c>
      <x:c r="B4" s="2" t="str">
        <x:v>10.1038/s41598-024-67799-9</x:v>
      </x:c>
      <x:c r="C4" s="8" t="str">
        <x:v>Effect of Ce on structural evolution and corrosion resistance of HRB500E rebar corrosion layer</x:v>
      </x:c>
      <x:c r="D4" s="2" t="str">
        <x:v>Verified</x:v>
      </x:c>
      <x:c r="E4" s="2" t="n">
        <x:v>4</x:v>
      </x:c>
      <x:c r="F4" s="2" t="n">
        <x:v>4</x:v>
      </x:c>
      <x:c r="G4" s="2" t="n">
        <x:v>0</x:v>
      </x:c>
      <x:c r="H4" s="2" t="n">
        <x:v>0</x:v>
      </x:c>
      <x:c r="I4" s="2" t="str">
        <x:v>primary_source_transcribed</x:v>
      </x:c>
      <x:c r="J4" s="2" t="str">
        <x:v>3.5wt% NaCl, Tafel+EIS 수치 확보 완료 (icorr 최대 66.4% 감소)</x:v>
      </x:c>
    </x:row>
    <x:row r="5" ht="45" customHeight="1">
      <x:c r="A5" s="2" t="n">
        <x:v>4</x:v>
      </x:c>
      <x:c r="B5" s="2" t="str">
        <x:v>10.3390/coatings14040413</x:v>
      </x:c>
      <x:c r="C5" s="8" t="str">
        <x:v>Effect of Doping Trace Rare Earth Elements on Corrosion Behavior of EH36 Offshore Platform Steel</x:v>
      </x:c>
      <x:c r="D5" s="2" t="str">
        <x:v>Verified</x:v>
      </x:c>
      <x:c r="E5" s="2" t="n">
        <x:v>4</x:v>
      </x:c>
      <x:c r="F5" s="2" t="n">
        <x:v>0</x:v>
      </x:c>
      <x:c r="G5" s="2" t="n">
        <x:v>4</x:v>
      </x:c>
      <x:c r="H5" s="2" t="n">
        <x:v>0</x:v>
      </x:c>
      <x:c r="I5" s="2" t="str">
        <x:v>prior_dataset_retained</x:v>
      </x:c>
      <x:c r="J5" s="2" t="str">
        <x:v>3.5wt% NaCl, La/Ce/Pr 각각 첨가, icorr 최대 63.8% 감소(La 최적)</x:v>
      </x:c>
    </x:row>
    <x:row r="6" ht="45" customHeight="1">
      <x:c r="A6" s="2" t="n">
        <x:v>5</x:v>
      </x:c>
      <x:c r="B6" s="2" t="str">
        <x:v>10.1016/j.jmrt.2025.04.303</x:v>
      </x:c>
      <x:c r="C6" s="8" t="str">
        <x:v>Synergistic enhancement of corrosion resistance and antibacterial properties of stainless steel by cerium element</x:v>
      </x:c>
      <x:c r="D6" s="2" t="str">
        <x:v>Verified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str">
        <x:v>not_transcribed_requires_source_review</x:v>
      </x:c>
      <x:c r="J6" s="2" t="str">
        <x:v>해수침지 384h, Ce 0~1.97wt%(항균 겸용강 특성상 고농도), 1.02wt%에서 부식속도 56.9% 감소(과첨가 시 악화)</x:v>
      </x:c>
    </x:row>
    <x:row r="7" ht="45" customHeight="1">
      <x:c r="A7" s="2" t="n">
        <x:v>6</x:v>
      </x:c>
      <x:c r="B7" s="2" t="str">
        <x:v>10.3390/met13071244</x:v>
      </x:c>
      <x:c r="C7" s="8" t="str">
        <x:v>Effect of Mg-Ce Treatment on Inclusion Characteristics and Pitting Corrosion Behavior in EH420 Marine Steel</x:v>
      </x:c>
      <x:c r="D7" s="2" t="str">
        <x:v>Verified</x:v>
      </x:c>
      <x:c r="E7" s="2" t="n">
        <x:v>4</x:v>
      </x:c>
      <x:c r="F7" s="2" t="n">
        <x:v>4</x:v>
      </x:c>
      <x:c r="G7" s="2" t="n">
        <x:v>0</x:v>
      </x:c>
      <x:c r="H7" s="2" t="n">
        <x:v>0</x:v>
      </x:c>
      <x:c r="I7" s="2" t="str">
        <x:v>primary_source_transcribed</x:v>
      </x:c>
      <x:c r="J7" s="2" t="str">
        <x:v>공식성장지수(KI) 최대 69.9% 감소, 공식전위(Ep) 개선. icorr 수치는 원문 미제시</x:v>
      </x:c>
    </x:row>
    <x:row r="8" ht="45" customHeight="1">
      <x:c r="A8" s="2" t="n">
        <x:v>7</x:v>
      </x:c>
      <x:c r="B8" s="2" t="str">
        <x:v>10.20964/2019.03.31</x:v>
      </x:c>
      <x:c r="C8" s="8" t="str">
        <x:v>Influence of Cerium and Tungsten Addition on the Passive Behaviour of 444-type Ferritic Stainless Steels</x:v>
      </x:c>
      <x:c r="D8" s="2" t="str">
        <x:v>Verified</x:v>
      </x:c>
      <x:c r="E8" s="2" t="n">
        <x:v>4</x:v>
      </x:c>
      <x:c r="F8" s="2" t="n">
        <x:v>0</x:v>
      </x:c>
      <x:c r="G8" s="2" t="n">
        <x:v>4</x:v>
      </x:c>
      <x:c r="H8" s="2" t="n">
        <x:v>0</x:v>
      </x:c>
      <x:c r="I8" s="2" t="str">
        <x:v>prior_dataset_retained</x:v>
      </x:c>
      <x:c r="J8" s="2" t="str">
        <x:v>1M H2SO4+0.5M NaCl, Ce 0~0.056wt%(W 병용), icorr 최대 45.7% 감소</x:v>
      </x:c>
    </x:row>
    <x:row r="9" ht="45" customHeight="1">
      <x:c r="A9" s="2" t="n">
        <x:v>8</x:v>
      </x:c>
      <x:c r="B9" s="2" t="str">
        <x:v>10.3390/ma12203359</x:v>
      </x:c>
      <x:c r="C9" s="8" t="str">
        <x:v>Mechanism Understanding of the Role of Rare Earth Inclusions in the Initial Marine Corrosion Process of Microalloyed Steels</x:v>
      </x:c>
      <x:c r="D9" s="2" t="str">
        <x:v>Verified</x:v>
      </x:c>
      <x:c r="E9" s="2" t="n">
        <x:v>3</x:v>
      </x:c>
      <x:c r="F9" s="2" t="n">
        <x:v>0</x:v>
      </x:c>
      <x:c r="G9" s="2" t="n">
        <x:v>3</x:v>
      </x:c>
      <x:c r="H9" s="2" t="n">
        <x:v>0</x:v>
      </x:c>
      <x:c r="I9" s="2" t="str">
        <x:v>prior_dataset_retained</x:v>
      </x:c>
      <x:c r="J9" s="2" t="str">
        <x:v>3.5wt% NaCl, Ce/La 각 0.002~0.003wt%, Ti/Zr탈산 시 icorr 44.8% 감소(Al탈산 대비 우수)</x:v>
      </x:c>
    </x:row>
    <x:row r="10" ht="45" customHeight="1">
      <x:c r="A10" s="2" t="n">
        <x:v>9</x:v>
      </x:c>
      <x:c r="B10" s="2" t="str">
        <x:v>10.3390/ma18010069</x:v>
      </x:c>
      <x:c r="C10" s="8" t="str">
        <x:v>Effect of Ce Content on Modification Behavior of Inclusions and Corrosion Resistance of 316L Stainless Steel</x:v>
      </x:c>
      <x:c r="D10" s="2" t="str">
        <x:v>Verified</x:v>
      </x:c>
      <x:c r="E10" s="2" t="n">
        <x:v>3</x:v>
      </x:c>
      <x:c r="F10" s="2" t="n">
        <x:v>0</x:v>
      </x:c>
      <x:c r="G10" s="2" t="n">
        <x:v>3</x:v>
      </x:c>
      <x:c r="H10" s="2" t="n">
        <x:v>0</x:v>
      </x:c>
      <x:c r="I10" s="2" t="str">
        <x:v>prior_dataset_retained</x:v>
      </x:c>
      <x:c r="J10" s="2" t="str">
        <x:v>3.5wt% NaCl + 6wt% FeCl3(ASTM G48), Ce 0.0082% 첨가 시 icorr 44.3% 감소</x:v>
      </x:c>
    </x:row>
    <x:row r="11" ht="45" customHeight="1">
      <x:c r="A11" s="2" t="n">
        <x:v>10</x:v>
      </x:c>
      <x:c r="B11" s="2" t="str">
        <x:v>manuscript, DOI 미확정</x:v>
      </x:c>
      <x:c r="C11" s="8" t="str">
        <x:v>(미발표 원고) Cu-Cr계 강 Ce 첨가 부식거동 연구</x:v>
      </x:c>
      <x:c r="D11" s="2" t="str">
        <x:v>Verified manuscript</x:v>
      </x:c>
      <x:c r="E11" s="2" t="n">
        <x:v>0</x:v>
      </x:c>
      <x:c r="F11" s="2" t="n">
        <x:v>0</x:v>
      </x:c>
      <x:c r="G11" s="2" t="n">
        <x:v>0</x:v>
      </x:c>
      <x:c r="H11" s="2" t="n">
        <x:v>0</x:v>
      </x:c>
      <x:c r="I11" s="2" t="str">
        <x:v>not_transcribed_requires_source_review</x:v>
      </x:c>
      <x:c r="J11" s="2" t="str">
        <x:v>HNO3 전처리 후 0.6wt% NaCl, Ce 0.0143% 첨가 시 icorr 34.4% 감소(과첨가 시 저감률 오히려 축소)</x:v>
      </x:c>
    </x:row>
    <x:row r="12" ht="45" customHeight="1">
      <x:c r="A12" s="2" t="n">
        <x:v>11</x:v>
      </x:c>
      <x:c r="B12" s="2" t="str">
        <x:v>10.3390/ma18051048</x:v>
      </x:c>
      <x:c r="C12" s="8" t="str">
        <x:v>Effect of Rare Earth Ce on Microstructure and Properties of Q370qENHY Bridge Steel</x:v>
      </x:c>
      <x:c r="D12" s="2" t="str">
        <x:v>Verified</x:v>
      </x:c>
      <x:c r="E12" s="2" t="n">
        <x:v>3</x:v>
      </x:c>
      <x:c r="F12" s="2" t="n">
        <x:v>3</x:v>
      </x:c>
      <x:c r="G12" s="2" t="n">
        <x:v>0</x:v>
      </x:c>
      <x:c r="H12" s="2" t="n">
        <x:v>0</x:v>
      </x:c>
      <x:c r="I12" s="2" t="str">
        <x:v>primary_source_transcribed</x:v>
      </x:c>
      <x:c r="J12" s="2" t="str">
        <x:v>중성 염수분무(5일), Ce 0.0025% 첨가 시 부식속도 33.6% 감소</x:v>
      </x:c>
    </x:row>
    <x:row r="13" ht="45" customHeight="1">
      <x:c r="A13" s="2" t="n">
        <x:v>12</x:v>
      </x:c>
      <x:c r="B13" s="2" t="str">
        <x:v>10.3390/met13010066</x:v>
      </x:c>
      <x:c r="C13" s="8" t="str">
        <x:v>Effect of Rare Earth on Corrosion Behaviour of Ultra-Low Carbon Steel</x:v>
      </x:c>
      <x:c r="D13" s="2" t="str">
        <x:v>Verified</x:v>
      </x:c>
      <x:c r="E13" s="2" t="n">
        <x:v>4</x:v>
      </x:c>
      <x:c r="F13" s="2" t="n">
        <x:v>0</x:v>
      </x:c>
      <x:c r="G13" s="2" t="n">
        <x:v>4</x:v>
      </x:c>
      <x:c r="H13" s="2" t="n">
        <x:v>0</x:v>
      </x:c>
      <x:c r="I13" s="2" t="str">
        <x:v>prior_dataset_retained</x:v>
      </x:c>
      <x:c r="J13" s="2" t="str">
        <x:v>3.5wt% NaCl, Ce 0.0025%+La 0.0015% 첨가 시 icorr 33.2% 감소</x:v>
      </x:c>
    </x:row>
    <x:row r="14" ht="45" customHeight="1">
      <x:c r="A14" s="2" t="n">
        <x:v>13</x:v>
      </x:c>
      <x:c r="B14" s="2" t="str">
        <x:v>10.3390/ma19122685</x:v>
      </x:c>
      <x:c r="C14" s="8" t="str">
        <x:v>Effect of La and Ce Microalloying on the Corrosion Resistance of 0.4Sb Low-Alloy Steel in a Harsh Marine Atmospheric Environment</x:v>
      </x:c>
      <x:c r="D14" s="2" t="str">
        <x:v>Verified</x:v>
      </x:c>
      <x:c r="E14" s="2" t="n">
        <x:v>3</x:v>
      </x:c>
      <x:c r="F14" s="2" t="n">
        <x:v>0</x:v>
      </x:c>
      <x:c r="G14" s="2" t="n">
        <x:v>3</x:v>
      </x:c>
      <x:c r="H14" s="2" t="n">
        <x:v>0</x:v>
      </x:c>
      <x:c r="I14" s="2" t="str">
        <x:v>prior_dataset_retained</x:v>
      </x:c>
      <x:c r="J14" s="2" t="str">
        <x:v>모의 열대해양 습건반복, La+Ce 0.33% 합산 첨가 시 icorr 31.9% 감소</x:v>
      </x:c>
    </x:row>
    <x:row r="15" ht="45" customHeight="1">
      <x:c r="A15" s="2" t="n">
        <x:v>14</x:v>
      </x:c>
      <x:c r="B15" s="2" t="str">
        <x:v>10.1088/2053-1591/acc236</x:v>
      </x:c>
      <x:c r="C15" s="8" t="str">
        <x:v>Effect of trace rare earth elements (Ce) on corrosion resistance of high strength steel used for offshore platform</x:v>
      </x:c>
      <x:c r="D15" s="2" t="str">
        <x:v>Verified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str">
        <x:v>not_transcribed_requires_source_review</x:v>
      </x:c>
      <x:c r="J15" s="2" t="str">
        <x:v>3.5wt% NaCl, Ce 0.0019% 첨가 시 icorr 24.8% 감소</x:v>
      </x:c>
    </x:row>
    <x:row r="16" ht="45" customHeight="1">
      <x:c r="A16" s="2" t="n">
        <x:v>15</x:v>
      </x:c>
      <x:c r="B16" s="2" t="str">
        <x:v>10.1515/htmp-2020-0001</x:v>
      </x:c>
      <x:c r="C16" s="8" t="str">
        <x:v>Effect of cerium on the initiation of pitting corrosion of 444-type heat-resistant ferritic stainless steel</x:v>
      </x:c>
      <x:c r="D16" s="2" t="str">
        <x:v>Verified</x:v>
      </x:c>
      <x:c r="E16" s="2" t="n">
        <x:v>0</x:v>
      </x:c>
      <x:c r="F16" s="2" t="n">
        <x:v>0</x:v>
      </x:c>
      <x:c r="G16" s="2" t="n">
        <x:v>0</x:v>
      </x:c>
      <x:c r="H16" s="2" t="n">
        <x:v>0</x:v>
      </x:c>
      <x:c r="I16" s="2" t="str">
        <x:v>not_transcribed_requires_source_review</x:v>
      </x:c>
      <x:c r="J16" s="2" t="str">
        <x:v>10% NaCl, Ce 0.048% 첨가 시 공식전위 +232mV, 막저항 +53.3% 개선</x:v>
      </x:c>
    </x:row>
    <x:row r="17" ht="45" customHeight="1">
      <x:c r="A17" s="2" t="n">
        <x:v>16</x:v>
      </x:c>
      <x:c r="B17" s="2" t="str">
        <x:v>10.3390/met15090935</x:v>
      </x:c>
      <x:c r="C17" s="8" t="str">
        <x:v>Improved Corrosion Resistance of Yttrium-Bearing H13 Steel for Shield Machine Cutter Ring</x:v>
      </x:c>
      <x:c r="D17" s="2" t="str">
        <x:v>Verified</x:v>
      </x:c>
      <x:c r="E17" s="2" t="n">
        <x:v>4</x:v>
      </x:c>
      <x:c r="F17" s="2" t="n">
        <x:v>4</x:v>
      </x:c>
      <x:c r="G17" s="2" t="n">
        <x:v>4</x:v>
      </x:c>
      <x:c r="H17" s="2" t="n">
        <x:v>0</x:v>
      </x:c>
      <x:c r="I17" s="2" t="str">
        <x:v>primary_source_transcribed</x:v>
      </x:c>
      <x:c r="J17" s="2" t="str">
        <x:v>0.1mol/L NaCl, Y 0.014%(140ppm) 첨가 시 템퍼링에 의한 Ecorr저하 58.3% 완화, 20h침지 부식체적손실 46.6% 감소</x:v>
      </x:c>
    </x:row>
    <x:row r="18" ht="45" customHeight="1">
      <x:c r="A18" s="2" t="n">
        <x:v>17</x:v>
      </x:c>
      <x:c r="B18" s="2" t="str">
        <x:v>10.1038/s41598-018-23273-x</x:v>
      </x:c>
      <x:c r="C18" s="8" t="str">
        <x:v>Correlation between evolution of inclusions and pitting corrosion in 304 stainless steel with yttrium addition</x:v>
      </x:c>
      <x:c r="D18" s="2" t="str">
        <x:v>Verified</x:v>
      </x:c>
      <x:c r="E18" s="2" t="n">
        <x:v>5</x:v>
      </x:c>
      <x:c r="F18" s="2" t="n">
        <x:v>5</x:v>
      </x:c>
      <x:c r="G18" s="2" t="n">
        <x:v>0</x:v>
      </x:c>
      <x:c r="H18" s="2" t="n">
        <x:v>0</x:v>
      </x:c>
      <x:c r="I18" s="2" t="str">
        <x:v>primary_source_transcribed</x:v>
      </x:c>
      <x:c r="J18" s="2" t="str">
        <x:v>3.5% NaCl, Y 0.019% 첨가 시 공식전위 최고(-0.11V). 과첨가(0.049%)·과소첨가(0.007%)는 오히려 악화(비단조적)</x:v>
      </x:c>
    </x:row>
    <x:row r="19" ht="45" customHeight="1">
      <x:c r="A19" s="2" t="n">
        <x:v>18</x:v>
      </x:c>
      <x:c r="B19" s="2" t="str">
        <x:v>10.1149/2.0051714jes</x:v>
      </x:c>
      <x:c r="C19" s="8" t="str">
        <x:v>Micro-Electrochemical Properties of CeS Inclusions in Stainless Steel and Inhibiting Effects of Ce3+ Ions on Pitting</x:v>
      </x:c>
      <x:c r="D19" s="2" t="str">
        <x:v>Verified</x:v>
      </x:c>
      <x:c r="E19" s="2" t="n">
        <x:v>0</x:v>
      </x:c>
      <x:c r="F19" s="2" t="n">
        <x:v>0</x:v>
      </x:c>
      <x:c r="G19" s="2" t="n">
        <x:v>0</x:v>
      </x:c>
      <x:c r="H19" s="2" t="n">
        <x:v>0</x:v>
      </x:c>
      <x:c r="I19" s="2" t="str">
        <x:v>not_transcribed_requires_source_review</x:v>
      </x:c>
      <x:c r="J19" s="2" t="str">
        <x:v>미소전기화학셀(0.1M NaCl), CeS 개재물강(Ce 0.091%)이 MnS강 대비 공식개시전위 약 2배(0.41→0.8V)</x:v>
      </x:c>
    </x:row>
    <x:row r="20" ht="45" customHeight="1">
      <x:c r="A20" s="2" t="n">
        <x:v>19</x:v>
      </x:c>
      <x:c r="B20" s="2" t="str">
        <x:v>10.5006/C2024-20450</x:v>
      </x:c>
      <x:c r="C20" s="8" t="str">
        <x:v>Effect of Minor Ce Additions on Corrosion Behavior of Experimental High-Strength Pipeline Steel</x:v>
      </x:c>
      <x:c r="D20" s="2" t="str">
        <x:v>Verified</x:v>
      </x:c>
      <x:c r="E20" s="2" t="n">
        <x:v>0</x:v>
      </x:c>
      <x:c r="F20" s="2" t="n">
        <x:v>0</x:v>
      </x:c>
      <x:c r="G20" s="2" t="n">
        <x:v>0</x:v>
      </x:c>
      <x:c r="H20" s="2" t="n">
        <x:v>0</x:v>
      </x:c>
      <x:c r="I20" s="2" t="str">
        <x:v>not_transcribed_requires_source_review</x:v>
      </x:c>
      <x:c r="J20" s="2" t="str">
        <x:v>CO2포화 3.5wt% NaCl. 단기시험에서 미량 Ce첨가(0.0057~0.0263%)가 오히려 부식속도를 증가시킴(부정적 결과) - 다만 4종 실험강 모두 상용 X100보다는 우수</x:v>
      </x:c>
    </x:row>
    <x:row r="21" ht="45" customHeight="1">
      <x:c r="A21" s="2" t="n">
        <x:v>20</x:v>
      </x:c>
      <x:c r="B21" s="2" t="str">
        <x:v>10.3390/ma15228269</x:v>
      </x:c>
      <x:c r="C21" s="8" t="str">
        <x:v>Attempt to Optimize the Corrosion Resistance of HRB400 Steel Rebar with Cr and RE</x:v>
      </x:c>
      <x:c r="D21" s="2" t="str">
        <x:v>Verified</x:v>
      </x:c>
      <x:c r="E21" s="2" t="n">
        <x:v>3</x:v>
      </x:c>
      <x:c r="F21" s="2" t="n">
        <x:v>3</x:v>
      </x:c>
      <x:c r="G21" s="2" t="n">
        <x:v>0</x:v>
      </x:c>
      <x:c r="H21" s="2" t="n">
        <x:v>0</x:v>
      </x:c>
      <x:c r="I21" s="2" t="str">
        <x:v>primary_source_transcribed</x:v>
      </x:c>
      <x:c r="J21" s="2" t="str">
        <x:v>모의콘크리트공극액(Cl- 0~3.5%), RE(Ce+La) 0.012% 첨가가 Cr전용 시료보다 Rct를 오히려 낮춤(부정적 결과)</x:v>
      </x:c>
    </x:row>
    <x:row r="22" ht="45" customHeight="1">
      <x:c r="A22" s="2" t="n">
        <x:v>21</x:v>
      </x:c>
      <x:c r="B22" s="2" t="str">
        <x:v>10.3390/ma17184467</x:v>
      </x:c>
      <x:c r="C22" s="8" t="str">
        <x:v>Revealing the Corrosion Resistance Mechanism of Plain Carbon Steel Micro-Alloyed by La in Simulated Industrial Atmosphere</x:v>
      </x:c>
      <x:c r="D22" s="2" t="str">
        <x:v>Verified</x:v>
      </x:c>
      <x:c r="E22" s="2" t="n">
        <x:v>5</x:v>
      </x:c>
      <x:c r="F22" s="2" t="n">
        <x:v>0</x:v>
      </x:c>
      <x:c r="G22" s="2" t="n">
        <x:v>5</x:v>
      </x:c>
      <x:c r="H22" s="2" t="n">
        <x:v>0</x:v>
      </x:c>
      <x:c r="I22" s="2" t="str">
        <x:v>prior_dataset_retained</x:v>
      </x:c>
      <x:c r="J22" s="2" t="str">
        <x:v>0.01mol/L NaHSO3(공업대기 모사), La 함량 증가에 따라 icorr 지속 감소(310ppm 최저). 정확한 단일 저감률은 baseline 수치 부재로 산출 불가</x:v>
      </x:c>
    </x:row>
    <x:row r="23" ht="45" customHeight="1">
      <x:c r="A23" s="2" t="n">
        <x:v>22</x:v>
      </x:c>
      <x:c r="B23" s="2" t="str">
        <x:v>10.1533/9780081002254.380</x:v>
      </x:c>
      <x:c r="C23" s="8" t="str">
        <x:v>Effect of the Ce on behavior of corrosion resistance and mechanical properties of A36 plate steel for shipbuilding</x:v>
      </x:c>
      <x:c r="D23" s="2" t="str">
        <x:v>Partial</x:v>
      </x:c>
      <x:c r="E23" s="2" t="n">
        <x:v>0</x:v>
      </x:c>
      <x:c r="F23" s="2" t="n">
        <x:v>0</x:v>
      </x:c>
      <x:c r="G23" s="2" t="n">
        <x:v>0</x:v>
      </x:c>
      <x:c r="H23" s="2" t="n">
        <x:v>0</x:v>
      </x:c>
      <x:c r="I23" s="2" t="str">
        <x:v>not_transcribed_requires_source_review</x:v>
      </x:c>
      <x:c r="J23" s="2" t="str">
        <x:v>조성만 확보, Tafel 수치는 그래프로만 제시되어 미확보</x:v>
      </x:c>
    </x:row>
    <x:row r="24" ht="45" customHeight="1">
      <x:c r="A24" s="2" t="n">
        <x:v>23</x:v>
      </x:c>
      <x:c r="B24" s="2" t="str">
        <x:v>10.1080/00084433.2026.2656834</x:v>
      </x:c>
      <x:c r="C24" s="8" t="str">
        <x:v>Influence of rare earth element cerium on inclusion evolution and corrosion resistance of microalloyed steel</x:v>
      </x:c>
      <x:c r="D24" s="2" t="str">
        <x:v>Partial</x:v>
      </x:c>
      <x:c r="E24" s="2" t="n">
        <x:v>0</x:v>
      </x:c>
      <x:c r="F24" s="2" t="n">
        <x:v>0</x:v>
      </x:c>
      <x:c r="G24" s="2" t="n">
        <x:v>0</x:v>
      </x:c>
      <x:c r="H24" s="2" t="n">
        <x:v>0</x:v>
      </x:c>
      <x:c r="I24" s="2" t="str">
        <x:v>not_transcribed_requires_source_review</x:v>
      </x:c>
      <x:c r="J24" s="2" t="str">
        <x:v>Ce 0/0.015/0.045wt% 조성만 확보, 전기화학 수치는 원문 미공개</x:v>
      </x:c>
    </x:row>
    <x:row r="25" ht="45" customHeight="1">
      <x:c r="A25" s="2" t="n">
        <x:v>24</x:v>
      </x:c>
      <x:c r="B25" s="2" t="str">
        <x:v>10.3390/ma18112443</x:v>
      </x:c>
      <x:c r="C25" s="8" t="str">
        <x:v>Effect of the rare earth element cerium on the corrosion resistance of steel for an offshore platform in a simulated marine atmospheric environment</x:v>
      </x:c>
      <x:c r="D25" s="2" t="str">
        <x:v>Partial</x:v>
      </x:c>
      <x:c r="E25" s="2" t="n">
        <x:v>3</x:v>
      </x:c>
      <x:c r="F25" s="2" t="n">
        <x:v>3</x:v>
      </x:c>
      <x:c r="G25" s="2" t="n">
        <x:v>0</x:v>
      </x:c>
      <x:c r="H25" s="2" t="n">
        <x:v>0</x:v>
      </x:c>
      <x:c r="I25" s="2" t="str">
        <x:v>primary_source_transcribed</x:v>
      </x:c>
      <x:c r="J25" s="2" t="str">
        <x:v>조성 및 정성적 결과(PAI, 공식깊이) 확보, Ecorr/icorr는 그림으로만 제시되어 미확보</x:v>
      </x:c>
    </x:row>
    <x:row r="26" ht="45" customHeight="1">
      <x:c r="A26" s="2" t="n">
        <x:v>25</x:v>
      </x:c>
      <x:c r="B26" s="2" t="str">
        <x:v>10.1515/htmp-2017-0094</x:v>
      </x:c>
      <x:c r="C26" s="8" t="str">
        <x:v>Effects of Cerium on the Inclusions and Pitting Corrosion Behavior of 434 Ferritic Stainless Steel</x:v>
      </x:c>
      <x:c r="D26" s="2" t="str">
        <x:v>Partial</x:v>
      </x:c>
      <x:c r="E26" s="2" t="n">
        <x:v>0</x:v>
      </x:c>
      <x:c r="F26" s="2" t="n">
        <x:v>0</x:v>
      </x:c>
      <x:c r="G26" s="2" t="n">
        <x:v>0</x:v>
      </x:c>
      <x:c r="H26" s="2" t="n">
        <x:v>0</x:v>
      </x:c>
      <x:c r="I26" s="2" t="str">
        <x:v>not_transcribed_requires_source_review</x:v>
      </x:c>
      <x:c r="J26" s="2" t="str">
        <x:v>Ce 0~0.034wt% 조성 확보, 공식전위는 그래프로만 제시(수치 없음)</x:v>
      </x:c>
    </x:row>
    <x:row r="27" ht="45" customHeight="1">
      <x:c r="A27" s="2" t="n">
        <x:v>26</x:v>
      </x:c>
      <x:c r="B27" s="2" t="str">
        <x:v>10.2355/isijinternational.ISIJINT-2019-248</x:v>
      </x:c>
      <x:c r="C27" s="8" t="str">
        <x:v>Effect of Cerium on the Corrosion Behaviour of Low-Ni Austenitic Stainless Steel</x:v>
      </x:c>
      <x:c r="D27" s="2" t="str">
        <x:v>Partial</x:v>
      </x:c>
      <x:c r="E27" s="2" t="n">
        <x:v>0</x:v>
      </x:c>
      <x:c r="F27" s="2" t="n">
        <x:v>0</x:v>
      </x:c>
      <x:c r="G27" s="2" t="n">
        <x:v>0</x:v>
      </x:c>
      <x:c r="H27" s="2" t="n">
        <x:v>0</x:v>
      </x:c>
      <x:c r="I27" s="2" t="str">
        <x:v>not_transcribed_requires_source_review</x:v>
      </x:c>
      <x:c r="J27" s="2" t="str">
        <x:v>5wt% H2SO4 침지 부식속도(중량감소법) 확보 - Ce첨가가 오히려 부식속도 증가(26.7→39.6 g/mm²/day)</x:v>
      </x:c>
    </x:row>
    <x:row r="28" ht="45" customHeight="1">
      <x:c r="A28" s="2" t="n">
        <x:v>27</x:v>
      </x:c>
      <x:c r="B28" s="2" t="str">
        <x:v>10.7449/2019/MST_2019_122_129</x:v>
      </x:c>
      <x:c r="C28" s="8" t="str">
        <x:v>Effect of Cerium on Inclusions and Corrosion Behavior of 304 Stainless Steel</x:v>
      </x:c>
      <x:c r="D28" s="2" t="str">
        <x:v>Partial</x:v>
      </x:c>
      <x:c r="E28" s="2" t="n">
        <x:v>0</x:v>
      </x:c>
      <x:c r="F28" s="2" t="n">
        <x:v>0</x:v>
      </x:c>
      <x:c r="G28" s="2" t="n">
        <x:v>0</x:v>
      </x:c>
      <x:c r="H28" s="2" t="n">
        <x:v>0</x:v>
      </x:c>
      <x:c r="I28" s="2" t="str">
        <x:v>not_transcribed_requires_source_review</x:v>
      </x:c>
      <x:c r="J28" s="2" t="str">
        <x:v>베이스 조성표 확보, Ce 0.012% 시료의 Ecorr(-311.25mV)만 원문에 수치로 확인(최적)</x:v>
      </x:c>
    </x:row>
    <x:row r="29" ht="45" customHeight="1">
      <x:c r="A29" s="2" t="n">
        <x:v>28</x:v>
      </x:c>
      <x:c r="B29" s="2" t="str">
        <x:v>10.1088/2053-1591/ac2343</x:v>
      </x:c>
      <x:c r="C29" s="8" t="str">
        <x:v>The influence of rare earth element lanthanum on corrosion resistance of steel plate for offshore platform</x:v>
      </x:c>
      <x:c r="D29" s="2" t="str">
        <x:v>Partial</x:v>
      </x:c>
      <x:c r="E29" s="2" t="n">
        <x:v>0</x:v>
      </x:c>
      <x:c r="F29" s="2" t="n">
        <x:v>0</x:v>
      </x:c>
      <x:c r="G29" s="2" t="n">
        <x:v>0</x:v>
      </x:c>
      <x:c r="H29" s="2" t="n">
        <x:v>0</x:v>
      </x:c>
      <x:c r="I29" s="2" t="str">
        <x:v>not_transcribed_requires_source_review</x:v>
      </x:c>
      <x:c r="J29" s="2" t="str">
        <x:v>La 9~10.2ppm 조성 확보, 녹층 α/γ*비 개선 확인. Ecorr/icorr는 그래프로만 제시</x:v>
      </x:c>
    </x:row>
    <x:row r="30" ht="45" customHeight="1">
      <x:c r="A30" s="2" t="n">
        <x:v>29</x:v>
      </x:c>
      <x:c r="B30" s="2" t="str">
        <x:v>10.1016/j.scriptamat.2006.07.016</x:v>
      </x:c>
      <x:c r="C30" s="8" t="str">
        <x:v>Effects of misch metal on the formation of non-metallic inclusions and the associated resistance to pitting corrosion in 25Cr duplex stainless steels</x:v>
      </x:c>
      <x:c r="D30" s="2" t="str">
        <x:v>Partial</x:v>
      </x:c>
      <x:c r="E30" s="2" t="n">
        <x:v>0</x:v>
      </x:c>
      <x:c r="F30" s="2" t="n">
        <x:v>0</x:v>
      </x:c>
      <x:c r="G30" s="2" t="n">
        <x:v>0</x:v>
      </x:c>
      <x:c r="H30" s="2" t="n">
        <x:v>0</x:v>
      </x:c>
      <x:c r="I30" s="2" t="str">
        <x:v>not_transcribed_requires_source_review</x:v>
      </x:c>
      <x:c r="J30" s="2" t="str">
        <x:v>misch metal(REM) 합계 0.067wt% 첨가 - 원소별 분리 불가(2차 인용문헌 기반), 전기화학 수치 미확보</x:v>
      </x:c>
    </x:row>
    <x:row r="31" ht="45" customHeight="1">
      <x:c r="A31" s="2" t="n">
        <x:v>30</x:v>
      </x:c>
      <x:c r="B31" s="2" t="str">
        <x:v>10.11902/1005.4537.2024.043</x:v>
      </x:c>
      <x:c r="C31" s="8" t="str">
        <x:v>Effect of B and Ce Micro-alloying on Secondary Phase Precipitation and Corrosion Resistance of S31254 Super Austenitic Stainless Steel</x:v>
      </x:c>
      <x:c r="D31" s="2" t="str">
        <x:v>Verified</x:v>
      </x:c>
      <x:c r="E31" s="2" t="n">
        <x:v>4</x:v>
      </x:c>
      <x:c r="F31" s="2" t="n">
        <x:v>4</x:v>
      </x:c>
      <x:c r="G31" s="2" t="n">
        <x:v>4</x:v>
      </x:c>
      <x:c r="H31" s="2" t="n">
        <x:v>0</x:v>
      </x:c>
      <x:c r="I31" s="2" t="str">
        <x:v>primary_source_transcribed</x:v>
      </x:c>
      <x:c r="J31" s="2" t="str">
        <x:v>모의 배연탈황 응축액(11.5%H2SO4+1.2%HCl+1.0%FeCl3+1.0%CuCl2, 30℃, SCE)에서 950℃/30min 시효재 비교. B+Ce 복합 미량첨가로 icorr이 7.41×10^-7 → 1.07×10^-7 A/cm²로 감소하고 Epit이 0.979 → 1.032 V로 상승.</x:v>
      </x:c>
    </x:row>
    <x:row r="32" ht="45" customHeight="1">
      <x:c r="A32" s="2" t="n">
        <x:v>31</x:v>
      </x:c>
      <x:c r="B32" s="2" t="str">
        <x:v>10.3390/ma17143466</x:v>
      </x:c>
      <x:c r="C32" s="8" t="str">
        <x:v>Corrosion Behavior of Ferritic 12Cr ODS and Martensitic X46Cr13 Steels in Nitric Acid and Sodium Chloride Solutions</x:v>
      </x:c>
      <x:c r="D32" s="2" t="str">
        <x:v>Verified</x:v>
      </x:c>
      <x:c r="E32" s="2" t="n">
        <x:v>6</x:v>
      </x:c>
      <x:c r="F32" s="2" t="n">
        <x:v>6</x:v>
      </x:c>
      <x:c r="G32" s="2" t="n">
        <x:v>6</x:v>
      </x:c>
      <x:c r="H32" s="2" t="n">
        <x:v>0</x:v>
      </x:c>
      <x:c r="I32" s="2" t="str">
        <x:v>primary_source_transcribed</x:v>
      </x:c>
      <x:c r="J32" s="2" t="str">
        <x:v>1M/4M HNO3 및 0.61M NaCl에서 SCE 기준 3 mV/s 동전위분극. Y2O3 분산강화 12Cr ODS가 1M HNO3와 NaCl에서 RE 무첨가 X46Cr13보다 icorr이 크게 낮고 Rp가 높음(1M HNO3에서 icorr 1.7 vs 429.8 µA/cm²).</x:v>
      </x:c>
    </x:row>
    <x:row r="33" ht="45" customHeight="1">
      <x:c r="A33" s="2" t="n">
        <x:v>32</x:v>
      </x:c>
      <x:c r="B33" s="2" t="str">
        <x:v>10.1038/s41529-026-00746-3</x:v>
      </x:c>
      <x:c r="C33" s="8" t="str">
        <x:v>Enhancement mechanisms of Cr and RE on the corrosion resistance of HRB400 rebar in chloride-containing concrete pore solution</x:v>
      </x:c>
      <x:c r="D33" s="2" t="str">
        <x:v>Verified</x:v>
      </x:c>
      <x:c r="E33" s="2" t="n">
        <x:v>12</x:v>
      </x:c>
      <x:c r="F33" s="2" t="n">
        <x:v>12</x:v>
      </x:c>
      <x:c r="G33" s="2" t="n">
        <x:v>0</x:v>
      </x:c>
      <x:c r="H33" s="2" t="n">
        <x:v>0</x:v>
      </x:c>
      <x:c r="I33" s="2" t="str">
        <x:v>primary_source_transcribed</x:v>
      </x:c>
      <x:c r="J33" s="2" t="str">
        <x:v>포화 Ca(OH)2 모의 콘크리트 공극액(pH 약 12.5), 25±1 C, SCE 기준, Pt 대극, 노출면적 1 cm2, 주사속도 0.33 mV/s, EIS 100 kHz~10 mHz(10 mV). Cl- 농도 0.5/1/2/3.5 wt% NaCl 조건별 Epass/Ipass 및 Rct 확보. RE는 La 60 wt%의 La-Ce 합금.</x:v>
      </x:c>
    </x:row>
    <x:row r="34" ht="45" customHeight="1">
      <x:c r="A34" s="2" t="n">
        <x:v>33</x:v>
      </x:c>
      <x:c r="B34" s="2" t="str">
        <x:v>10.20057/j.1003-8620.2025-00093</x:v>
      </x:c>
      <x:c r="C34" s="8" t="str">
        <x:v>Synergistic Regulation of Rare Earth Content on Tribological and Corrosion Performance of Chromium Infiltration Layers in 316H Heat-Resistant Steel (稀土含量对316H耐热钢渗铬层摩擦与腐蚀性能的协同调控)</x:v>
      </x:c>
      <x:c r="D34" s="2" t="str">
        <x:v>Verified</x:v>
      </x:c>
      <x:c r="E34" s="2" t="n">
        <x:v>6</x:v>
      </x:c>
      <x:c r="F34" s="2" t="n">
        <x:v>6</x:v>
      </x:c>
      <x:c r="G34" s="2" t="n">
        <x:v>6</x:v>
      </x:c>
      <x:c r="H34" s="2" t="n">
        <x:v>0</x:v>
      </x:c>
      <x:c r="I34" s="2" t="str">
        <x:v>primary_source_transcribed</x:v>
      </x:c>
      <x:c r="J34" s="2" t="str">
        <x:v>희토류(Y2O3)는 강 중 고용이 아니라 침투제(49%Cr+Al2O3+2%NH4I) 첨가제 형태. 3.5wt% NaCl, SCE, 1 mV/s 분극 결과 REO 첨가 시 icorr이 오히려 증가(6.09×10⁻⁹→최대 5.30×10⁻⁸ A/cm²)하여 내식성은 저하, 층 두께는 4% REO에서 최대. / 주의: 원문 조성표 Cr·Ni 값이 316H 규격과 불일치(원문값 그대로 기재)</x:v>
      </x:c>
    </x:row>
    <x:row r="35" ht="45" customHeight="1">
      <x:c r="A35" s="2" t="n">
        <x:v>34</x:v>
      </x:c>
      <x:c r="B35" s="2" t="str">
        <x:v>10.11900/0412.1961.2022.00359</x:v>
      </x:c>
      <x:c r="C35" s="8" t="str">
        <x:v>Effect of Ce on Cleanliness, Microstructure, and Pitting Corrosion Resistance of 75Cr1 Steel</x:v>
      </x:c>
      <x:c r="D35" s="2" t="str">
        <x:v>Verified</x:v>
      </x:c>
      <x:c r="E35" s="2" t="n">
        <x:v>3</x:v>
      </x:c>
      <x:c r="F35" s="2" t="n">
        <x:v>0</x:v>
      </x:c>
      <x:c r="G35" s="2" t="n">
        <x:v>3</x:v>
      </x:c>
      <x:c r="H35" s="2" t="n">
        <x:v>0</x:v>
      </x:c>
      <x:c r="I35" s="2" t="str">
        <x:v>prior_dataset_retained</x:v>
      </x:c>
      <x:c r="J35" s="2" t="str">
        <x:v>Ce 첨가로 Al2O3·MnS 계 개재물이 Ce2O2S, Ce2O2S-CeAlO3 로 개질됨. 3.5wt% NaCl, SCE 에서 동전위분극 결과 Ce 0.0195wt% 에서 icorr 최소, 공식전위 최고.</x:v>
      </x:c>
    </x:row>
    <x:row r="36" ht="45" customHeight="1">
      <x:c r="A36" s="2" t="n">
        <x:v>35</x:v>
      </x:c>
      <x:c r="B36" s="2" t="str">
        <x:v>10.11973/fsyfh-202403006</x:v>
      </x:c>
      <x:c r="C36" s="8" t="str">
        <x:v>稀土镧铈对Q355NHq钢在模拟海洋大气环境中腐蚀行为的影响 (Effect of Rare Earth Lanthanum and Cerium on Corrosion Behavior of Q355NHq Steel in Simulated Marine Atmosphere Environment)</x:v>
      </x:c>
      <x:c r="D36" s="2" t="str">
        <x:v>Verified</x:v>
      </x:c>
      <x:c r="E36" s="2" t="n">
        <x:v>0</x:v>
      </x:c>
      <x:c r="F36" s="2" t="n">
        <x:v>0</x:v>
      </x:c>
      <x:c r="G36" s="2" t="n">
        <x:v>0</x:v>
      </x:c>
      <x:c r="H36" s="2" t="n">
        <x:v>0</x:v>
      </x:c>
      <x:c r="I36" s="2" t="str">
        <x:v>not_transcribed_requires_source_review</x:v>
      </x:c>
      <x:c r="J36" s="2" t="str">
        <x:v>腐蚀与防护 2024, 45(3): 37-46. 염수분무(GB/T 10125-2005 준용 표기, 5 wt% NaCl 중성, 35 C 연속분무) 및 3.5% NaCl 용액 중 분극곡선/EIS 측정. 조성은 표1, 분극 결과는 표3, EIS 결과는 표4에서 확인.</x:v>
      </x:c>
    </x:row>
    <x:row r="37" ht="45" customHeight="1">
      <x:c r="A37" s="2" t="n">
        <x:v>36</x:v>
      </x:c>
      <x:c r="B37" s="2" t="str">
        <x:v>10.1155/2018/4071352</x:v>
      </x:c>
      <x:c r="C37" s="8" t="str">
        <x:v>Effect of Rare-Earth Elements on the Corrosion Resistance of Flux-Cored Arc-Welded Metal with 10CrNi3MoV Steel</x:v>
      </x:c>
      <x:c r="D37" s="2" t="str">
        <x:v>Verified</x:v>
      </x:c>
      <x:c r="E37" s="2" t="n">
        <x:v>5</x:v>
      </x:c>
      <x:c r="F37" s="2" t="n">
        <x:v>5</x:v>
      </x:c>
      <x:c r="G37" s="2" t="n">
        <x:v>5</x:v>
      </x:c>
      <x:c r="H37" s="2" t="n">
        <x:v>0</x:v>
      </x:c>
      <x:c r="I37" s="2" t="str">
        <x:v>primary_source_transcribed</x:v>
      </x:c>
      <x:c r="J37" s="2" t="str">
        <x:v>REE-Si-Fe(Ce 12.56/La 4.43/Nd 1.41/Pr 0.55/Sm 4.53 wt% 함유) 를 플럭스에 0~1.0wt% 첨가한 용착금속. 3.5wt% NaCl, SCE, 1 mV/s 동전위분극과 EIS 수행. 희토류 첨가로 icorr 이 24.9 → 13.4 µA/cm2 까지 감소.</x:v>
      </x:c>
    </x:row>
    <x:row r="38" ht="45" customHeight="1">
      <x:c r="A38" s="2" t="n">
        <x:v>37</x:v>
      </x:c>
      <x:c r="B38" s="2" t="str">
        <x:v>10.3390/met15010085</x:v>
      </x:c>
      <x:c r="C38" s="8" t="str">
        <x:v>Effect of Trace Rare Earth Elements (Ce) on the Corrosion Resistance of High-Strength Weathering Bridge Steels</x:v>
      </x:c>
      <x:c r="D38" s="2" t="str">
        <x:v>Verified</x:v>
      </x:c>
      <x:c r="E38" s="2" t="n">
        <x:v>3</x:v>
      </x:c>
      <x:c r="F38" s="2" t="n">
        <x:v>0</x:v>
      </x:c>
      <x:c r="G38" s="2" t="n">
        <x:v>3</x:v>
      </x:c>
      <x:c r="H38" s="2" t="n">
        <x:v>0</x:v>
      </x:c>
      <x:c r="I38" s="2" t="str">
        <x:v>prior_dataset_retained</x:v>
      </x:c>
      <x:c r="J38" s="2" t="str">
        <x:v>Ce 0/6/10 ppm 3종을 9일 염수분무(salt spray) 후 3.5wt% NaCl에서 동전위분극·EIS 평가. 미량 Ce 첨가로 icorr 약 30~33% 감소, Rct 149→283.5 Ω·cm2 증가, 청도 3개월 옥외폭로 부식속도도 0.0752→0.0665 mm/a로 감소.</x:v>
      </x:c>
    </x:row>
    <x:row r="39" ht="45" customHeight="1">
      <x:c r="A39" s="2" t="n">
        <x:v>38</x:v>
      </x:c>
      <x:c r="B39" s="2" t="str">
        <x:v>N/A</x:v>
      </x:c>
      <x:c r="C39" s="8" t="str">
        <x:v>Study on the enhancement of corrosion resistance in BT490XT automotive body steel through rare earth La modification of MnS inclusions</x:v>
      </x:c>
      <x:c r="D39" s="2" t="str">
        <x:v>Verified</x:v>
      </x:c>
      <x:c r="E39" s="2" t="n">
        <x:v>0</x:v>
      </x:c>
      <x:c r="F39" s="2" t="n">
        <x:v>0</x:v>
      </x:c>
      <x:c r="G39" s="2" t="n">
        <x:v>0</x:v>
      </x:c>
      <x:c r="H39" s="2" t="n">
        <x:v>0</x:v>
      </x:c>
      <x:c r="I39" s="2" t="str">
        <x:v>not_transcribed_requires_source_review</x:v>
      </x:c>
      <x:c r="J39" s="2" t="str">
        <x:v>La 20 ppm 첨가로 MnS 가 La 산황화물 복합 개재물로 개질됨. NaHSO3 (1.0±0.05)×10-2 mol/L, 35 ℃ 주기부식 환경에서 0분·180분 시점 분극 측정, La 첨가재의 Icorr 이 더 낮음. DOI 는 원문에서 확인하지 못해 N/A.</x:v>
      </x:c>
    </x:row>
    <x:row r="40" ht="45" customHeight="1">
      <x:c r="A40" s="2" t="n">
        <x:v>39</x:v>
      </x:c>
      <x:c r="B40" s="2" t="str">
        <x:v>10.3390/ma16020876</x:v>
      </x:c>
      <x:c r="C40" s="8" t="str">
        <x:v>Local Corrosion Behaviors in the Coarse-Grained Heat-Affected Zone in a Newly Developed Zr–Ti–Al–RE Deoxidized High-Strength Low-Alloy Steel</x:v>
      </x:c>
      <x:c r="D40" s="2" t="str">
        <x:v>Verified</x:v>
      </x:c>
      <x:c r="E40" s="2" t="n">
        <x:v>0</x:v>
      </x:c>
      <x:c r="F40" s="2" t="n">
        <x:v>0</x:v>
      </x:c>
      <x:c r="G40" s="2" t="n">
        <x:v>0</x:v>
      </x:c>
      <x:c r="H40" s="2" t="n">
        <x:v>0</x:v>
      </x:c>
      <x:c r="I40" s="2" t="str">
        <x:v>not_transcribed_requires_source_review</x:v>
      </x:c>
      <x:c r="J40" s="2" t="str">
        <x:v>3.5wt% NaCl(상온, SCE, 0.333 mV/s)에서 모재와 조립열영향부(CGHAZ) 비교. CGHAZ의 icorr가 모재보다 크고 Rct는 낮아 국부부식 저항이 열위. RE 함량은 Al+Ca+Zr+Ti+RE 합산 0.04wt%로만 표기되어 개별 RE 값 확인 불가.</x:v>
      </x:c>
    </x:row>
    <x:row r="41" ht="45" customHeight="1">
      <x:c r="A41" s="2" t="n">
        <x:v>40</x:v>
      </x:c>
      <x:c r="B41" s="2" t="str">
        <x:v>10.3969/j.issn.1674-165X.2024.02.015</x:v>
      </x:c>
      <x:c r="C41" s="8" t="str">
        <x:v>Effect of Rare Earth Elements on Microstructure and Properties of Super Ferritic Stainless Steel (稀土元素对超级铁素体不锈钢组织及性能的影响)</x:v>
      </x:c>
      <x:c r="D41" s="2" t="str">
        <x:v>Verified</x:v>
      </x:c>
      <x:c r="E41" s="2" t="n">
        <x:v>0</x:v>
      </x:c>
      <x:c r="F41" s="2" t="n">
        <x:v>0</x:v>
      </x:c>
      <x:c r="G41" s="2" t="n">
        <x:v>0</x:v>
      </x:c>
      <x:c r="H41" s="2" t="n">
        <x:v>0</x:v>
      </x:c>
      <x:c r="I41" s="2" t="str">
        <x:v>not_transcribed_requires_source_review</x:v>
      </x:c>
      <x:c r="J41" s="2" t="str">
        <x:v>3.5% NaCl(30±1℃, SCE)에서 RE 0~0.198 wt% 4종 비교. EIS 전하이동저항 Rt가 RE 0.198%에서 3.68×10^4 → 8.79×10^4 Ω·cm²로 약 2.4배 증가했고, Ecorr/icorr/Epit은 Fig.15~16 그래프로만 제시됨.</x:v>
      </x:c>
    </x:row>
    <x:row r="42" ht="45" customHeight="1">
      <x:c r="A42" s="2" t="n">
        <x:v>41</x:v>
      </x:c>
      <x:c r="B42" s="2" t="str">
        <x:v>10.11902/1005.4537.2022.135</x:v>
      </x:c>
      <x:c r="C42" s="8" t="str">
        <x:v>Precipitation of Second Phase and Its Effect on Corrosion Resistance of Ce-containing S31254 Super Austenitic Stainless Steel</x:v>
      </x:c>
      <x:c r="D42" s="2" t="str">
        <x:v>Verified</x:v>
      </x:c>
      <x:c r="E42" s="2" t="n">
        <x:v>7</x:v>
      </x:c>
      <x:c r="F42" s="2" t="n">
        <x:v>7</x:v>
      </x:c>
      <x:c r="G42" s="2" t="n">
        <x:v>0</x:v>
      </x:c>
      <x:c r="H42" s="2" t="n">
        <x:v>0</x:v>
      </x:c>
      <x:c r="I42" s="2" t="str">
        <x:v>primary_source_transcribed</x:v>
      </x:c>
      <x:c r="J42" s="2" t="str">
        <x:v>Ce 0.004% 함유 S31254를 고용처리 및 800~900℃ 시효 후 10% NaCl(25℃, SCE)에서 평가. 고용재의 Epit 1.137 V, icorr 2.11×10^-7 A/cm², Rct 2138.8 Ω·cm²이며 시효온도 상승에 따라 σ상 석출로 열화됨.</x:v>
      </x:c>
    </x:row>
    <x:row r="43" ht="45" customHeight="1">
      <x:c r="A43" s="2" t="n">
        <x:v>42</x:v>
      </x:c>
      <x:c r="B43" s="2" t="str">
        <x:v>N/A</x:v>
      </x:c>
      <x:c r="C43" s="8" t="str">
        <x:v>Corrosion stability of stainless steel, modified with electrochemically deposited cerium oxide films</x:v>
      </x:c>
      <x:c r="D43" s="2" t="str">
        <x:v>Partial</x:v>
      </x:c>
      <x:c r="E43" s="2" t="n">
        <x:v>0</x:v>
      </x:c>
      <x:c r="F43" s="2" t="n">
        <x:v>0</x:v>
      </x:c>
      <x:c r="G43" s="2" t="n">
        <x:v>0</x:v>
      </x:c>
      <x:c r="H43" s="2" t="n">
        <x:v>0</x:v>
      </x:c>
      <x:c r="I43" s="2" t="str">
        <x:v>not_transcribed_requires_source_review</x:v>
      </x:c>
      <x:c r="J43" s="2" t="str">
        <x:v>3.5% NaCl(pH 6.5, ~25℃, SCE, 10 mV/s)에서 Ce 산화막 표면농도(at%) 증가에 따라 icorr이 6.0×10^-7 → 6.9×10^-8 A/cm²로 감소하고 Epit이 -0.065 → +0.091 V로 상승. 희토류가 벌크 합금원소가 아니라 전착 산화막 형태이며 조성은 강종 공칭치와 표면 Ce at%만 확인됨.</x:v>
      </x:c>
    </x:row>
    <x:row r="44" ht="45" customHeight="1">
      <x:c r="A44" s="2" t="n">
        <x:v>43</x:v>
      </x:c>
      <x:c r="B44" s="2" t="str">
        <x:v>10.3390/met10091174</x:v>
      </x:c>
      <x:c r="C44" s="8" t="str">
        <x:v>Effects of Rare Earth (Ce and La) on Steel Corrosion Behaviors under Wet-Dry Cycle Immersion Conditions</x:v>
      </x:c>
      <x:c r="D44" s="2" t="str">
        <x:v>Partial</x:v>
      </x:c>
      <x:c r="E44" s="2" t="n">
        <x:v>4</x:v>
      </x:c>
      <x:c r="F44" s="2" t="n">
        <x:v>4</x:v>
      </x:c>
      <x:c r="G44" s="2" t="n">
        <x:v>0</x:v>
      </x:c>
      <x:c r="H44" s="2" t="n">
        <x:v>0</x:v>
      </x:c>
      <x:c r="I44" s="2" t="str">
        <x:v>primary_source_transcribed</x:v>
      </x:c>
      <x:c r="J44" s="2" t="str">
        <x:v>건습교대 침지(wet-dry cycle immersion) 시험. RE(Ce+La) 첨가재가 부식속도 저하 및 녹층 α-FeOOH 분율 증가(Q235B 28%→35%)를 보였으나, 부식속도는 그래프(Figure 2)로만 제시되고 Ecorr/icorr/Rct 수치는 원문 표에 없음.</x:v>
      </x:c>
    </x:row>
    <x:row r="45" ht="45" customHeight="1">
      <x:c r="A45" s="2" t="n">
        <x:v>44</x:v>
      </x:c>
      <x:c r="B45" s="2" t="str">
        <x:v>N/A</x:v>
      </x:c>
      <x:c r="C45" s="8" t="str">
        <x:v>Characterizations of Rusts Formed on Weathering Steels Containing Rare Earth Metals after Accelerated Atmospheric Corrosion (含稀土金屬耐候鋼經加速大氣腐蝕模擬試驗後銹層性質分析)</x:v>
      </x:c>
      <x:c r="D45" s="2" t="str">
        <x:v>Partial</x:v>
      </x:c>
      <x:c r="E45" s="2" t="n">
        <x:v>0</x:v>
      </x:c>
      <x:c r="F45" s="2" t="n">
        <x:v>0</x:v>
      </x:c>
      <x:c r="G45" s="2" t="n">
        <x:v>0</x:v>
      </x:c>
      <x:c r="H45" s="2" t="n">
        <x:v>0</x:v>
      </x:c>
      <x:c r="I45" s="2" t="str">
        <x:v>not_transcribed_requires_source_review</x:v>
      </x:c>
      <x:c r="J45" s="2" t="str">
        <x:v>0.05wt% NaCl 분무(35℃ 4h)/건조(60℃ 20h) 건습 반복 10·20·30 사이클 가속 대기부식 후 녹층 분석. 탈기 0.05wt% NaCl에서 Tafel 외삽을 수행했으나 시료별 Ecorr/icorr 수치는 제시되지 않고 전체 icorr 범위(약 1e-5~1e-4 A/cm2)만 기술됨.</x:v>
      </x:c>
    </x:row>
    <x:row r="46" ht="45" customHeight="1">
      <x:c r="A46" s="2" t="n">
        <x:v>45</x:v>
      </x:c>
      <x:c r="B46" s="2" t="str">
        <x:v>10.3390/ma15227952</x:v>
      </x:c>
      <x:c r="C46" s="8" t="str">
        <x:v>Effect of La Content on the Inclusions and Corrosion Behavior of Q355B Weathering Steel (MDPI Materials 15(22), 7952)</x:v>
      </x:c>
      <x:c r="D46" s="2" t="str">
        <x:v>Partial</x:v>
      </x:c>
      <x:c r="E46" s="2" t="n">
        <x:v>4</x:v>
      </x:c>
      <x:c r="F46" s="2" t="n">
        <x:v>4</x:v>
      </x:c>
      <x:c r="G46" s="2" t="n">
        <x:v>0</x:v>
      </x:c>
      <x:c r="H46" s="2" t="n">
        <x:v>0</x:v>
      </x:c>
      <x:c r="I46" s="2" t="str">
        <x:v>primary_source_transcribed</x:v>
      </x:c>
      <x:c r="J46" s="2" t="str">
        <x:v>La 0/0.0075/0.0184/0.0425wt% 4종의 조성표는 원문에서 확인되나, 이 세션에서 확인한 페이지 내용에는 시료별 Ecorr/icorr/Rct/부식속도 수치가 제시되지 않음(전해질·기준전극 정보도 미확인).</x:v>
      </x:c>
    </x:row>
    <x:row r="47" ht="45" customHeight="1">
      <x:c r="A47" s="2" t="n">
        <x:v>46</x:v>
      </x:c>
      <x:c r="B47" s="2" t="str">
        <x:v>10.3390/ma18030641</x:v>
      </x:c>
      <x:c r="C47" s="8" t="str">
        <x:v>Enhanced Performance of Austenitic Oxide Dispersion-Strengthened 316L Steel: A Study on Y2O3 Reinforcement and Corrosion Behaviour</x:v>
      </x:c>
      <x:c r="D47" s="2" t="str">
        <x:v>Partial</x:v>
      </x:c>
      <x:c r="E47" s="2" t="n">
        <x:v>5</x:v>
      </x:c>
      <x:c r="F47" s="2" t="n">
        <x:v>5</x:v>
      </x:c>
      <x:c r="G47" s="2" t="n">
        <x:v>0</x:v>
      </x:c>
      <x:c r="H47" s="2" t="n">
        <x:v>0</x:v>
      </x:c>
      <x:c r="I47" s="2" t="str">
        <x:v>primary_source_transcribed</x:v>
      </x:c>
      <x:c r="J47" s="2" t="str">
        <x:v>인공해수(25 °C, ACLE, 1667 mV/s) 분극에서 Ecorr·항복전위(Eb)·ΔE만 제시되고 icorr·Rct 수치는 없음. Y2O3 증가에 따라 Eb·ΔE가 감소해 내공식성이 저하되며 SL-EPR QPa도 감소. 원소 조성표는 원문에 없어 조성행은 Y2O3 첨가량 기준으로만 기재(Partial).</x:v>
      </x:c>
    </x:row>
    <x:row r="48" ht="45" customHeight="1">
      <x:c r="A48" s="2" t="n">
        <x:v>47</x:v>
      </x:c>
      <x:c r="B48" s="2" t="str">
        <x:v>10.1007/s40195-022-01404-8</x:v>
      </x:c>
      <x:c r="C48" s="8" t="str">
        <x:v>Effects of Modified Inclusions and Precipitates Alloyed by Rare Earth Element on Corrosion and Impact Properties in Low Alloy Steel</x:v>
      </x:c>
      <x:c r="D48" s="2" t="str">
        <x:v>Partial</x:v>
      </x:c>
      <x:c r="E48" s="2" t="n">
        <x:v>0</x:v>
      </x:c>
      <x:c r="F48" s="2" t="n">
        <x:v>0</x:v>
      </x:c>
      <x:c r="G48" s="2" t="n">
        <x:v>0</x:v>
      </x:c>
      <x:c r="H48" s="2" t="n">
        <x:v>0</x:v>
      </x:c>
      <x:c r="I48" s="2" t="str">
        <x:v>not_transcribed_requires_source_review</x:v>
      </x:c>
      <x:c r="J48" s="2" t="str">
        <x:v>Ce 0.0144 + La 0.0064 wt% 첨가강과 무첨가 Q355 비교. 부식생성물 XRD 정량(α-FeOOH 40.8→46.2%, α/γ 19.4→35.5)은 확보했으나 Ecorr/icorr/Rct 등 전기화학 수치는 접근한 페이지에서 확인되지 않아 null 처리.</x:v>
      </x:c>
    </x:row>
    <x:row r="49" ht="45" customHeight="1">
      <x:c r="A49" s="2" t="n">
        <x:v>48</x:v>
      </x:c>
      <x:c r="B49" s="2" t="str">
        <x:v>10.1088/2053-1591/ac80a1</x:v>
      </x:c>
      <x:c r="C49" s="8" t="str">
        <x:v>Effect of rare earth on microstructure and properties of niobiumizing layer on GCr15 steel for pin shaft</x:v>
      </x:c>
      <x:c r="D49" s="2" t="str">
        <x:v>Partial</x:v>
      </x:c>
      <x:c r="E49" s="2" t="n">
        <x:v>0</x:v>
      </x:c>
      <x:c r="F49" s="2" t="n">
        <x:v>0</x:v>
      </x:c>
      <x:c r="G49" s="2" t="n">
        <x:v>0</x:v>
      </x:c>
      <x:c r="H49" s="2" t="n">
        <x:v>0</x:v>
      </x:c>
      <x:c r="I49" s="2" t="str">
        <x:v>not_transcribed_requires_source_review</x:v>
      </x:c>
      <x:c r="J49" s="2" t="str">
        <x:v>침투제(49%Al2O3+45%Nb-Fe+5%NH4Cl)에 La2O3/CeO2/Y2O3/Nd2O3를 첨가해 950 °C/6 h 니오븀화. 3.5wt% NaCl 분극에서 2% La2O3가 icorr 최소(5.24×10⁻⁷ A/cm²), Y2O3·Nd2O3는 8×10⁻⁶ 수준으로 열세. GCr15 자체 조성표는 원문에 없어 Partial.</x:v>
      </x:c>
    </x:row>
    <x:row r="50" ht="45" customHeight="1">
      <x:c r="A50" s="2" t="n">
        <x:v>49</x:v>
      </x:c>
      <x:c r="B50" s="2" t="str">
        <x:v>10.1515/htmp-2014-0023</x:v>
      </x:c>
      <x:c r="C50" s="8" t="str">
        <x:v>The Influence of Yttrium on High Temperature Oxidation of Valve Steels</x:v>
      </x:c>
      <x:c r="D50" s="2" t="str">
        <x:v>Partial</x:v>
      </x:c>
      <x:c r="E50" s="2" t="n">
        <x:v>0</x:v>
      </x:c>
      <x:c r="F50" s="2" t="n">
        <x:v>0</x:v>
      </x:c>
      <x:c r="G50" s="2" t="n">
        <x:v>0</x:v>
      </x:c>
      <x:c r="H50" s="2" t="n">
        <x:v>0</x:v>
      </x:c>
      <x:c r="I50" s="2" t="str">
        <x:v>not_transcribed_requires_source_review</x:v>
      </x:c>
      <x:c r="J50" s="2" t="str">
        <x:v>Y(NO3)3 에탄올 용액에서 전착으로 2×10⁻⁶ kg/m² Y을 표면에 침적한 뒤 1173 K 공기 중 등온·열싸이클 산화시험(수용액 전기화학 데이터 없음). Y 침적재가 미침적재보다 산화속도가 낮고 스케일 박리 저항이 향상.</x:v>
      </x:c>
    </x:row>
  </x:sheetData>
  <x:pageMargins left="0.7" right="0.7" top="0.75" bottom="0.75" header="0.3" footer="0.3"/>
  <x:tableParts count="1">
    <x:tablePart xmlns:r="http://schemas.openxmlformats.org/officeDocument/2006/relationships" r:id="Read2d5c9cbed4358"/>
  </x:tableParts>
</x:worksheet>
</file>